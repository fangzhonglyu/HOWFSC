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Compute Specs" sheetId="2" r:id="rId5"/>
    <sheet state="visible" name="Profile" sheetId="3" r:id="rId6"/>
    <sheet state="visible" name="System Specs" sheetId="4" r:id="rId7"/>
    <sheet state="visible" name="MAC Specs" sheetId="5" r:id="rId8"/>
    <sheet state="visible" name="Sources" sheetId="6" r:id="rId9"/>
    <sheet state="visible" name="Obsolete Main" sheetId="7" r:id="rId10"/>
    <sheet state="visible" name="Transceiver Data" sheetId="8" r:id="rId11"/>
    <sheet state="visible" name="Transfer Model" sheetId="9" r:id="rId12"/>
    <sheet state="visible" name="Obsolete Data" sheetId="10" r:id="rId13"/>
  </sheets>
  <definedNames>
    <definedName hidden="1" localSheetId="2" name="_xlnm._FilterDatabase">Profile!$A$1:$G$16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Should be correct. Checked against "A parameter scan of dark zone maintenance for high-contrast
imaging of exoplanets using theoretical and experimental
implementations". Manojkumar et al.</t>
      </text>
    </comment>
    <comment authorId="0" ref="E19">
      <text>
        <t xml:space="preserve">Should be correct. I could find: δuk_dither = N(0, σ^2_dither*I) over N iterations. From "A parameter scan of dark zone maintenance for high-contrast
imaging of exoplanets using theoretical and experimental
implementations". Manojkumar et al.
</t>
      </text>
    </comment>
    <comment authorId="0" ref="B20">
      <text>
        <t xml:space="preserve">Checked against "Embedded Computing for Wavefront Control
on Future Space Telescopes" by Nicholas Belsten.
Found: Oflop = 4LNpwpNpix (L is number of channels, Npwp is number of probes)</t>
      </text>
    </comment>
    <comment authorId="0" ref="E20">
      <text>
        <t xml:space="preserve">Should be 2LNpixNpwp (L is number of channels, Npwp is number of probes)?
Checked against  "Embedded Computing for Wavefront Control
on Future Space Telescopes" by Nicholas Belsten.</t>
      </text>
    </comment>
    <comment authorId="0" ref="B21">
      <text>
        <t xml:space="preserve">Missing Nact, assuming single cell? Oflops = 2LNpixNact
computation for each pixel is O(Nact) and is repeated 2LNpix times
Checked against "Dark Hole Maintenance and A Posteriori Intensity Estimation in the Presence of Speckle
Drift in a High-contrast Space Coronagraph" (https://iopscience.iop.org/article/10.3847/1538-4357/ab0461/pdf) and "Embedded Computing for Wavefront Control
on Future Space Telescopes" by Nicholas Belsten.</t>
      </text>
    </comment>
    <comment authorId="0" ref="E21">
      <text>
        <t xml:space="preserve">Also missing Nact (assuming single cell)?
Checked against "Dark Hole Maintenance and A Posteriori Intensity Estimation in the Presence of Speckle
Drift in a High-contrast Space Coronagraph" (https://iopscience.iop.org/article/10.3847/1538-4357/ab0461/pdf) and "Embedded Computing for Wavefront Control
on Future Space Telescopes" by Nicholas Belsten.</t>
      </text>
    </comment>
    <comment authorId="0" ref="B22">
      <text>
        <t xml:space="preserve">I think it should be the same as ekf</t>
      </text>
    </comment>
    <comment authorId="0" ref="E22">
      <text>
        <t xml:space="preserve">same (should it be the same as ekf?)</t>
      </text>
    </comment>
    <comment authorId="0" ref="B23">
      <text>
        <t xml:space="preserve">Checked against "Embedded Computing for Wavefront Control
on Future Space Telescopes" by Nicholas Belsten.
</t>
      </text>
    </comment>
    <comment authorId="0" ref="E23">
      <text>
        <t xml:space="preserve">Since J is precomputed, why can't mem be channel*Npix*Nact.
Checked against "Embedded Computing for Wavefront Control
on Future Space Telescopes" by Nicholas Belsten.
</t>
      </text>
    </comment>
    <comment authorId="0" ref="B24">
      <text>
        <t xml:space="preserve">Should be correct. Checked against "Accelerating Embedded HOWFSC Algorithms" by Nicholas Belsten.</t>
      </text>
    </comment>
    <comment authorId="0" ref="E24">
      <text>
        <t xml:space="preserve">Should be correct. Checked against "Accelerating Embedded HOWFSC Algorithms" by Nicholas Belsten.</t>
      </text>
    </comment>
    <comment authorId="0" ref="B25">
      <text>
        <t xml:space="preserve">Should be correct. Checked against "Accelerating Embedded HOWFSC Algorithms" by Nicholas Belsten.</t>
      </text>
    </comment>
    <comment authorId="0" ref="E25">
      <text>
        <t xml:space="preserve">Should be correct. Checked against "Accelerating Embedded HOWFSC Algorithms" by Nicholas Belsten.</t>
      </text>
    </comment>
    <comment authorId="0" ref="B27">
      <text>
        <t xml:space="preserve">Should be correct. Checked against "Embedded Computing for Wavefront Control
on Future Space Telescopes" by Nicholas Belsten.</t>
      </text>
    </comment>
    <comment authorId="0" ref="E27">
      <text>
        <t xml:space="preserve">"Embedded Computing for Wavefront Control
on Future Space Telescopes" by Nicholas Belsten.</t>
      </text>
    </comment>
    <comment authorId="0" ref="F27">
      <text>
        <t xml:space="preserve">Nprop = 2048?</t>
      </text>
    </comment>
    <comment authorId="0" ref="V37">
      <text>
        <t xml:space="preserve">Checked against "Embedded Computing for Wavefront Control
on Future Space Telescopes" by Nicholas Belsten.
Found: Oflop = 4LNpwpNpix (L is number of channels, Npwp is number of probes)</t>
      </text>
    </comment>
    <comment authorId="0" ref="W37">
      <text>
        <t xml:space="preserve">Should be 2LNpixNpwp (L is number of channels, Npwp is number of probes)?
Checked against  "Embedded Computing for Wavefront Control
on Future Space Telescopes" by Nicholas Belsten.</t>
      </text>
    </comment>
    <comment authorId="0" ref="K44">
      <text>
        <t xml:space="preserve">I'm not sure why latency is so low for adjoint based. Should nprop be 2048?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FP64: 78.60
FP32: 157.3
From [13]</t>
      </text>
    </comment>
    <comment authorId="0" ref="C12">
      <text>
        <t xml:space="preserve">FP64: 78.60
FP32: 157.3
From [13]</t>
      </text>
    </comment>
    <comment authorId="0" ref="G13">
      <text>
        <t xml:space="preserve">8 cards @ 128GB/s
From [11]</t>
      </text>
    </comment>
    <comment authorId="0" ref="F14">
      <text>
        <t xml:space="preserve">1.54TB from [9]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Should be correct. Checked against "A parameter scan of dark zone maintenance for high-contrast
imaging of exoplanets using theoretical and experimental
implementations". Manojkumar et al.</t>
      </text>
    </comment>
    <comment authorId="0" ref="E19">
      <text>
        <t xml:space="preserve">Should be correct. I could find: δuk_dither = N(0, σ^2_dither*I) over N iterations. From "A parameter scan of dark zone maintenance for high-contrast
imaging of exoplanets using theoretical and experimental
implementations". Manojkumar et al.
</t>
      </text>
    </comment>
    <comment authorId="0" ref="B20">
      <text>
        <t xml:space="preserve">Checked against "Embedded Computing for Wavefront Control
on Future Space Telescopes" by Nicholas Belsten.
Found: Oflop = 4LNpwpNpix (L is number of channels, Npwp is number of probes)
----
This should be the same as the formula? 4 x Num Channel x Num Pixel x Nprobe (5) = 20*Nprobe*M
	-Barry Lyu</t>
      </text>
    </comment>
    <comment authorId="0" ref="E20">
      <text>
        <t xml:space="preserve">Should be 2LNpixNpwp (L is number of channels, Npwp is number of probes)?
Checked against  "Embedded Computing for Wavefront Control
on Future Space Telescopes" by Nicholas Belsten.
----
Same reasoning for this
	-Barry Lyu</t>
      </text>
    </comment>
    <comment authorId="0" ref="B21">
      <text>
        <t xml:space="preserve">Missing Nact, assuming single cell? Oflops = 2LNpixNact
computation for each pixel is O(Nact) and is repeated 2LNpix times
Checked against "Dark Hole Maintenance and A Posteriori Intensity Estimation in the Presence of Speckle
Drift in a High-contrast Space Coronagraph" (https://iopscience.iop.org/article/10.3847/1538-4357/ab0461/pdf) and "Embedded Computing for Wavefront Control
on Future Space Telescopes" by Nicholas Belsten.
----
This should be right for single pixel?
	-Barry Lyu</t>
      </text>
    </comment>
    <comment authorId="0" ref="E21">
      <text>
        <t xml:space="preserve">Also missing Nact (assuming single cell)?
Checked against "Dark Hole Maintenance and A Posteriori Intensity Estimation in the Presence of Speckle
Drift in a High-contrast Space Coronagraph" (https://iopscience.iop.org/article/10.3847/1538-4357/ab0461/pdf) and "Embedded Computing for Wavefront Control
on Future Space Telescopes" by Nicholas Belsten.</t>
      </text>
    </comment>
    <comment authorId="0" ref="B22">
      <text>
        <t xml:space="preserve">I think it should be the same as ekf</t>
      </text>
    </comment>
    <comment authorId="0" ref="E22">
      <text>
        <t xml:space="preserve">same (should it be the same as ekf?)</t>
      </text>
    </comment>
    <comment authorId="0" ref="B23">
      <text>
        <t xml:space="preserve">Checked against "Embedded Computing for Wavefront Control
on Future Space Telescopes" by Nicholas Belsten.
</t>
      </text>
    </comment>
    <comment authorId="0" ref="E23">
      <text>
        <t xml:space="preserve">Since J is precomputed, why can't mem be channel*Npix*Nact.
Checked against "Embedded Computing for Wavefront Control
on Future Space Telescopes" by Nicholas Belsten.
</t>
      </text>
    </comment>
    <comment authorId="0" ref="B24">
      <text>
        <t xml:space="preserve">Should be correct. Checked against "Accelerating Embedded HOWFSC Algorithms" by Nicholas Belsten.</t>
      </text>
    </comment>
    <comment authorId="0" ref="E24">
      <text>
        <t xml:space="preserve">Should be correct. Checked against "Accelerating Embedded HOWFSC Algorithms" by Nicholas Belsten.</t>
      </text>
    </comment>
    <comment authorId="0" ref="B25">
      <text>
        <t xml:space="preserve">Should be correct. Checked against "Accelerating Embedded HOWFSC Algorithms" by Nicholas Belsten.</t>
      </text>
    </comment>
    <comment authorId="0" ref="E25">
      <text>
        <t xml:space="preserve">Should be correct. Checked against "Accelerating Embedded HOWFSC Algorithms" by Nicholas Belsten.</t>
      </text>
    </comment>
    <comment authorId="0" ref="B27">
      <text>
        <t xml:space="preserve">Should be correct. Checked against "Embedded Computing for Wavefront Control
on Future Space Telescopes" by Nicholas Belsten.</t>
      </text>
    </comment>
    <comment authorId="0" ref="E27">
      <text>
        <t xml:space="preserve">"Embedded Computing for Wavefront Control
on Future Space Telescopes" by Nicholas Belsten.
----
changed from 16Pixels*log2(Pixels)+6*Ch*Pixels
	-Vaibhavi Manjarekar
Nprop (Number of pixels used during optical model propagation) = 2048
	-Vaibhavi Manjarekar</t>
      </text>
    </comment>
    <comment authorId="0" ref="F27">
      <text>
        <t xml:space="preserve">Nprop = 2048?</t>
      </text>
    </comment>
    <comment authorId="0" ref="V37">
      <text>
        <t xml:space="preserve">Checked against "Embedded Computing for Wavefront Control
on Future Space Telescopes" by Nicholas Belsten.
Found: Oflop = 4LNpwpNpix (L is number of channels, Npwp is number of probes)</t>
      </text>
    </comment>
    <comment authorId="0" ref="W37">
      <text>
        <t xml:space="preserve">Should be 2LNpixNpwp (L is number of channels, Npwp is number of probes)?
Checked against  "Embedded Computing for Wavefront Control
on Future Space Telescopes" by Nicholas Belsten.</t>
      </text>
    </comment>
    <comment authorId="0" ref="K44">
      <text>
        <t xml:space="preserve">I'm not sure why latency is so low for adjoint based. Should nprop be 2048?</t>
      </text>
    </comment>
  </commentList>
</comments>
</file>

<file path=xl/sharedStrings.xml><?xml version="1.0" encoding="utf-8"?>
<sst xmlns="http://schemas.openxmlformats.org/spreadsheetml/2006/main" count="1154" uniqueCount="520">
  <si>
    <t>System Parameters</t>
  </si>
  <si>
    <t>Mode name</t>
  </si>
  <si>
    <t>Telescope</t>
  </si>
  <si>
    <t>Channels</t>
  </si>
  <si>
    <t>IWA (L/D)</t>
  </si>
  <si>
    <t>OAW (L/D)</t>
  </si>
  <si>
    <t>DM act/side</t>
  </si>
  <si>
    <t>Pixels across pupil</t>
  </si>
  <si>
    <t>L/D per Pix</t>
  </si>
  <si>
    <t>Link Speed (GB)</t>
  </si>
  <si>
    <t>Link Latency (sec)</t>
  </si>
  <si>
    <t>LUVOIR VIS A</t>
  </si>
  <si>
    <t xml:space="preserve">  Derived Parameters</t>
  </si>
  <si>
    <t>Other Parameters</t>
  </si>
  <si>
    <t>Dark Hole Area (L/D)^2</t>
  </si>
  <si>
    <t>Pixels</t>
  </si>
  <si>
    <t>M (2 * Nch * Npix)</t>
  </si>
  <si>
    <t>Actuators (N)</t>
  </si>
  <si>
    <t>Nprobe</t>
  </si>
  <si>
    <t>KFF</t>
  </si>
  <si>
    <t>NEFCGains</t>
  </si>
  <si>
    <t>NBytes/Float</t>
  </si>
  <si>
    <t>Pixel Bit-Depth</t>
  </si>
  <si>
    <t>Jacobian Size (GB)</t>
  </si>
  <si>
    <t>M Matrix Size (GB)</t>
  </si>
  <si>
    <t>Adjoint EFC</t>
  </si>
  <si>
    <t>Interconnect</t>
  </si>
  <si>
    <t>Adjoint FLOP Formula</t>
  </si>
  <si>
    <t>NLFBGS</t>
  </si>
  <si>
    <t>NGrad</t>
  </si>
  <si>
    <t>NIF</t>
  </si>
  <si>
    <t>L-BFGS</t>
  </si>
  <si>
    <t>Bandwidth (GB)</t>
  </si>
  <si>
    <t>Energy (pJ/bit)</t>
  </si>
  <si>
    <t>P2P BW Requirement</t>
  </si>
  <si>
    <t>NLFBGS*(Channels*(14*Pixels*log(Pixels) + 7*Pixels+ 2*NIF*N + N) + N*(4*Ngrad-1))*NEFC</t>
  </si>
  <si>
    <t>Degree</t>
  </si>
  <si>
    <t>Area (mm2/node)</t>
  </si>
  <si>
    <t>Workload Specs</t>
  </si>
  <si>
    <t>Kernels</t>
  </si>
  <si>
    <t>FLOP Formula</t>
  </si>
  <si>
    <t>FLOP</t>
  </si>
  <si>
    <t>GFLOP</t>
  </si>
  <si>
    <t>Mem Formula</t>
  </si>
  <si>
    <t>Mem Access</t>
  </si>
  <si>
    <t>Mem Access (GB)</t>
  </si>
  <si>
    <t>Mem(TB)</t>
  </si>
  <si>
    <t>Data Transfer(GB)</t>
  </si>
  <si>
    <t>Notes</t>
  </si>
  <si>
    <t>Dither Generation</t>
  </si>
  <si>
    <t>N</t>
  </si>
  <si>
    <t>Estimation based on pairwise probing</t>
  </si>
  <si>
    <t>Pairwise Probing</t>
  </si>
  <si>
    <t>20*NProbe*M</t>
  </si>
  <si>
    <t>NProbe*M</t>
  </si>
  <si>
    <t>Requires optimization to only load full Jacobian once</t>
  </si>
  <si>
    <t>EKF</t>
  </si>
  <si>
    <t>KFF*M + 2*M*N</t>
  </si>
  <si>
    <t>KFF*M+M*N</t>
  </si>
  <si>
    <t>KF</t>
  </si>
  <si>
    <t>(5*Nprobe + KFF)*Pixels*Channels</t>
  </si>
  <si>
    <t>EFC with Precomputed Gain</t>
  </si>
  <si>
    <t>2*N*M+ 2*N*N</t>
  </si>
  <si>
    <t>N(N+M)</t>
  </si>
  <si>
    <t>Jacobian Multiplication</t>
  </si>
  <si>
    <t>M*N^2</t>
  </si>
  <si>
    <t>MN+2N^2</t>
  </si>
  <si>
    <t>Inverse J^TJ</t>
  </si>
  <si>
    <t>(2*N^3/3)*NEFCGains</t>
  </si>
  <si>
    <t>3*N^2*NEFCGains</t>
  </si>
  <si>
    <t>Compute Gain</t>
  </si>
  <si>
    <t>Sum of R24-25</t>
  </si>
  <si>
    <t>Adjoint Based</t>
  </si>
  <si>
    <t>NLFBGS*(Channels*(14*Pixels*log(Pixels) + 7*Pixels+ 2*NIF*N + N) + N*(4*Ngrad+1))*Nact</t>
  </si>
  <si>
    <t>(12*channel + 16)*Nprop^2</t>
  </si>
  <si>
    <t>ResNet18</t>
  </si>
  <si>
    <t>Modal Kalman Gain</t>
  </si>
  <si>
    <t>2/3m^3 +2n^2m</t>
  </si>
  <si>
    <t>(n^2+nm+m^2)</t>
  </si>
  <si>
    <t>Modal status update</t>
  </si>
  <si>
    <t>n*m</t>
  </si>
  <si>
    <t>n(n+m)</t>
  </si>
  <si>
    <t>Parallel E distribution</t>
  </si>
  <si>
    <t>M</t>
  </si>
  <si>
    <t>Parallel Vector Collection</t>
  </si>
  <si>
    <t>Formulae</t>
  </si>
  <si>
    <t xml:space="preserve">PWP: </t>
  </si>
  <si>
    <t>GFLOPS</t>
  </si>
  <si>
    <t>Mem</t>
  </si>
  <si>
    <t>Kalman gain</t>
  </si>
  <si>
    <t>Multiplier</t>
  </si>
  <si>
    <t>(n2+nm+m2)</t>
  </si>
  <si>
    <t>formulae:</t>
  </si>
  <si>
    <t>Status update</t>
  </si>
  <si>
    <t>Compute System</t>
  </si>
  <si>
    <t>EFC Compute System</t>
  </si>
  <si>
    <t>FP32 TFLOP/s</t>
  </si>
  <si>
    <t>FP64 TFLOP/s</t>
  </si>
  <si>
    <t>Power (W)</t>
  </si>
  <si>
    <t>Mem Capacity (GB)</t>
  </si>
  <si>
    <t>Bandwidth (TB/s)</t>
  </si>
  <si>
    <t>Scale-up</t>
  </si>
  <si>
    <t>Weight (kg)</t>
  </si>
  <si>
    <t>SRAM Solution</t>
  </si>
  <si>
    <t>Adjoint</t>
  </si>
  <si>
    <t>Modal EKF</t>
  </si>
  <si>
    <t>GP Compute System</t>
  </si>
  <si>
    <t>Workload Analysis</t>
  </si>
  <si>
    <t>Precomputed Gain</t>
  </si>
  <si>
    <t xml:space="preserve">ARM Teledyne LX2160A - Space </t>
  </si>
  <si>
    <t>AI(FLOP/byte)</t>
  </si>
  <si>
    <t>Roofline Throughput (GB)</t>
  </si>
  <si>
    <t>Transfer Time</t>
  </si>
  <si>
    <t>Bounding Factor</t>
  </si>
  <si>
    <t>Latency (sec)</t>
  </si>
  <si>
    <t>Energy (J)</t>
  </si>
  <si>
    <t>memory</t>
  </si>
  <si>
    <t>Memory</t>
  </si>
  <si>
    <t>Modal Kalman gain</t>
  </si>
  <si>
    <t>Dither</t>
  </si>
  <si>
    <t>Communication</t>
  </si>
  <si>
    <t>Inter-satellite XFER</t>
  </si>
  <si>
    <t>Transfer</t>
  </si>
  <si>
    <t>Summary</t>
  </si>
  <si>
    <t>Total Latency (sec)</t>
  </si>
  <si>
    <t xml:space="preserve">Max Iter/Sec (Hz) </t>
  </si>
  <si>
    <t>CNN Analysis</t>
  </si>
  <si>
    <t>Kernel</t>
  </si>
  <si>
    <t>Resnet18 B64</t>
  </si>
  <si>
    <t>Frequency-Based Analysis</t>
  </si>
  <si>
    <t>HBM3E Configuration [30,31]</t>
  </si>
  <si>
    <t>Desired Freq (Hz)</t>
  </si>
  <si>
    <t xml:space="preserve">Mem(TBps) </t>
  </si>
  <si>
    <t>HBM Capacity (GB per stack)</t>
  </si>
  <si>
    <t>Frequency (GHz)</t>
  </si>
  <si>
    <t>Throughput (TBps)</t>
  </si>
  <si>
    <t>Module Amount</t>
  </si>
  <si>
    <t>(Adjusted by Compute Percentage)</t>
  </si>
  <si>
    <t>HBM PHY Area (mm2 per pin)</t>
  </si>
  <si>
    <t>HBM num pins</t>
  </si>
  <si>
    <t>HBM Area (mm2)</t>
  </si>
  <si>
    <t>PHY Area (mm2)</t>
  </si>
  <si>
    <t>Total Area (mm2)</t>
  </si>
  <si>
    <t>2nm SRAM Configuration [29]</t>
  </si>
  <si>
    <t>HBM PHY Read Energy (pJ/bit)</t>
  </si>
  <si>
    <t>PHY Power (W)</t>
  </si>
  <si>
    <t>HBM Power (pJ/bit)</t>
  </si>
  <si>
    <t>HBM Power (W)</t>
  </si>
  <si>
    <t>Total Power (W)</t>
  </si>
  <si>
    <t>SRAM Density (Mb/mm2)</t>
  </si>
  <si>
    <t>Macro Size (Mb)</t>
  </si>
  <si>
    <t>SRAM Macro</t>
  </si>
  <si>
    <t>Voltage (V)</t>
  </si>
  <si>
    <t>Max Freq (Ghz)</t>
  </si>
  <si>
    <t>4096 x 32 MUX 16 (256Mb)</t>
  </si>
  <si>
    <t>0.75V</t>
  </si>
  <si>
    <t>Total Macro Count</t>
  </si>
  <si>
    <t>Total Read Width (Mb)</t>
  </si>
  <si>
    <t>Read Freq (kHz)</t>
  </si>
  <si>
    <t>Num Nodes</t>
  </si>
  <si>
    <t>Depth</t>
  </si>
  <si>
    <t>Broadcast Time (s)</t>
  </si>
  <si>
    <t>Gather (s)</t>
  </si>
  <si>
    <t>SRAM Chiplet Size (mm2)</t>
  </si>
  <si>
    <t>SRAM Chiplet Amount</t>
  </si>
  <si>
    <t>Macro Per Chiplet</t>
  </si>
  <si>
    <t>Broadcast Moved (GB)</t>
  </si>
  <si>
    <t>Gather Moved (GB)</t>
  </si>
  <si>
    <t>Energy Metrics based on 22nm CA-6T SRAM (No Area Overhead) [28]</t>
  </si>
  <si>
    <t>EFC Compute Configuration</t>
  </si>
  <si>
    <t>Read Energy @0.6V (fJ/bit)</t>
  </si>
  <si>
    <t>Approx. Read Energy @ 0.75V</t>
  </si>
  <si>
    <t>Read Power (W)</t>
  </si>
  <si>
    <t>MAC Design</t>
  </si>
  <si>
    <t>Tech</t>
  </si>
  <si>
    <t>Throughput (ops)</t>
  </si>
  <si>
    <t>Area (um2)</t>
  </si>
  <si>
    <t>Power (mW)</t>
  </si>
  <si>
    <t>DesignWare 500MHz</t>
  </si>
  <si>
    <t>Leakage @ 0.6V (pW/bit)</t>
  </si>
  <si>
    <t>Approx. Leakage @ 0.75V</t>
  </si>
  <si>
    <t>Total Leakage (W)</t>
  </si>
  <si>
    <t>Amount Needed</t>
  </si>
  <si>
    <t>Per Chiplet Amount</t>
  </si>
  <si>
    <t xml:space="preserve">TFLOPs </t>
  </si>
  <si>
    <t>Ideal SRAM</t>
  </si>
  <si>
    <t>General Purpose Compute Configuration ( Targeting less than 3% overhead)</t>
  </si>
  <si>
    <t>Low leakage, radiation tolerance, high density, M-GHz range, Highly Banked, w/ low power retention/deep sleep modes. Very Predictable access.</t>
  </si>
  <si>
    <t>Total Cache Size (MB)</t>
  </si>
  <si>
    <t>Total GFLOPs</t>
  </si>
  <si>
    <t>Power Overview (W)</t>
  </si>
  <si>
    <t>Target Processor</t>
  </si>
  <si>
    <t>SRAM</t>
  </si>
  <si>
    <t>Model</t>
  </si>
  <si>
    <t>Cores</t>
  </si>
  <si>
    <t>GFLOPs</t>
  </si>
  <si>
    <t>Cache (MB)</t>
  </si>
  <si>
    <t>HBM</t>
  </si>
  <si>
    <t>Amount</t>
  </si>
  <si>
    <t>Area (mm2)</t>
  </si>
  <si>
    <t>EFC Compute</t>
  </si>
  <si>
    <t>GP Compute</t>
  </si>
  <si>
    <t>12nm FinFET Resistive Memory Configuration [34]</t>
  </si>
  <si>
    <t>RRAM Density (Mb/mm2)</t>
  </si>
  <si>
    <t>Read Freq (Mhz)</t>
  </si>
  <si>
    <t>Read Width (bits)</t>
  </si>
  <si>
    <t>Total Read Speed (TB/s)</t>
  </si>
  <si>
    <t xml:space="preserve">RRAM Macro </t>
  </si>
  <si>
    <t>Voltage</t>
  </si>
  <si>
    <t>Read Speed (GB/s)</t>
  </si>
  <si>
    <t>16 x 4 x 512 x 1024? (32Mb)</t>
  </si>
  <si>
    <t>40nm CMOS MBC Resistive Memory Configuration [32]</t>
  </si>
  <si>
    <t>Total</t>
  </si>
  <si>
    <t>Read Energy @0.9V 2b/cell (pJ/bit)</t>
  </si>
  <si>
    <t>Macro Area (mm2)</t>
  </si>
  <si>
    <t>Macro size (Mb)</t>
  </si>
  <si>
    <t>Read width (bits)</t>
  </si>
  <si>
    <t>Density (Mb/mm2)</t>
  </si>
  <si>
    <t>HBM Solution</t>
  </si>
  <si>
    <t>Read Time (ns)</t>
  </si>
  <si>
    <t>4 x 64(BL) x 512(WL) x 24</t>
  </si>
  <si>
    <t>HBM PHY</t>
  </si>
  <si>
    <t>20nm TiN/30nm SiO2 16 Layer VRRAM Configuration [33]</t>
  </si>
  <si>
    <t>Density (Gb/mm2)</t>
  </si>
  <si>
    <t>Read Latency (ns)</t>
  </si>
  <si>
    <t>Power Scaling</t>
  </si>
  <si>
    <t>Frequency</t>
  </si>
  <si>
    <t>22nm CMOS Magnetoresistive RAM Configuration [27]</t>
  </si>
  <si>
    <t>Read Energy @0.8V (fJ/bit)</t>
  </si>
  <si>
    <t>Total Area* (mm2)</t>
  </si>
  <si>
    <t>Read Bandwidth (GB)</t>
  </si>
  <si>
    <t>Rough Approx.</t>
  </si>
  <si>
    <r>
      <rPr>
        <rFont val="Arial"/>
        <b/>
        <color theme="1"/>
      </rPr>
      <t>Fin</t>
    </r>
    <r>
      <rPr>
        <rFont val="Arial"/>
        <color theme="1"/>
      </rPr>
      <t xml:space="preserve">FET </t>
    </r>
    <r>
      <rPr>
        <rFont val="Arial"/>
        <b/>
        <color theme="1"/>
      </rPr>
      <t>D</t>
    </r>
    <r>
      <rPr>
        <rFont val="Arial"/>
        <color theme="1"/>
      </rPr>
      <t>ielectric RRAM (FIND RRAM)</t>
    </r>
  </si>
  <si>
    <t>GPU (B200)</t>
  </si>
  <si>
    <t>Hardware Analysis</t>
  </si>
  <si>
    <t>Bandwidth (TB)</t>
  </si>
  <si>
    <t>Sources</t>
  </si>
  <si>
    <t>LUVOIR VIS A 10ms 20GB</t>
  </si>
  <si>
    <t>BAE RAD5545 Optimistic</t>
  </si>
  <si>
    <t>I/O at 40Gb/s</t>
  </si>
  <si>
    <t>[1], [2], [3]</t>
  </si>
  <si>
    <t>[2] Mentions "3.7 giga-floating-point operations per second" and "Memory bandwidth of up to 51 Gb/s", Assuming FP is FP64, Assuming GB is not GiB. Divide 51Gb/s by 8 gives 6.375GB/s. [3] Mentions a 31.75kg system but it is for SpaceVPX-SDR, which includes the full payload.</t>
  </si>
  <si>
    <t>BAE RAD5545 Pessimistic</t>
  </si>
  <si>
    <t>Assuming Disk access bandwidth 10x worse than Bandwdith</t>
  </si>
  <si>
    <t>Apple M3 MAX (30 Core-GPU)</t>
  </si>
  <si>
    <t>N/A</t>
  </si>
  <si>
    <t>[4]</t>
  </si>
  <si>
    <t>Personal Profiling with [4] on MacBook Pro 14'. For reference only. FP64 is not supported by MPS.</t>
  </si>
  <si>
    <t>Nvidia H100 SXM</t>
  </si>
  <si>
    <t>8 cards at 900GB/s?</t>
  </si>
  <si>
    <t>[6]</t>
  </si>
  <si>
    <t>[6] Mentions FP32/FP64 and FP64 Tensor Core, choosing FP32 and FP64 Tensor Core. Estimating weight based on [7].</t>
  </si>
  <si>
    <t>Nvidia H100 NVL</t>
  </si>
  <si>
    <t>8 cards at 600GB/s</t>
  </si>
  <si>
    <t>[6], [7]</t>
  </si>
  <si>
    <t>Same as above. [7] Mentions weight of 1200g without brackets, etc. Over-estimating to 2kg.</t>
  </si>
  <si>
    <t>Nvidia H200 SXM</t>
  </si>
  <si>
    <t>[12]</t>
  </si>
  <si>
    <t>Estimated weight similar to H100.</t>
  </si>
  <si>
    <t>Nvidia H200 NVL</t>
  </si>
  <si>
    <t>Same as above.</t>
  </si>
  <si>
    <t>Nvidia B200</t>
  </si>
  <si>
    <t>8 cards with HGX B200</t>
  </si>
  <si>
    <t>[5]</t>
  </si>
  <si>
    <t>[5] Mentions Individual Blackwell GPU with "180GB HBM3E | 7.7TB/s" and FP32 at 75TFLOPS.</t>
  </si>
  <si>
    <t>Nvidia B300</t>
  </si>
  <si>
    <t>AMD MI300X</t>
  </si>
  <si>
    <t>8 cards at 128GB/s?</t>
  </si>
  <si>
    <t>[8], [10]</t>
  </si>
  <si>
    <t>[10] Mentions weight as 6kg, probably inaccurate.</t>
  </si>
  <si>
    <t>AMD MI355X</t>
  </si>
  <si>
    <t>8 cards at 153.6GB/s</t>
  </si>
  <si>
    <t>[13]</t>
  </si>
  <si>
    <t>[13] FLOPS from HPC Vector Performance.</t>
  </si>
  <si>
    <t>AMD MI325X System</t>
  </si>
  <si>
    <t>[11]</t>
  </si>
  <si>
    <t>[11] Same as above. Net weight estimated from below.</t>
  </si>
  <si>
    <t>AMD MI300X System</t>
  </si>
  <si>
    <t>[9]</t>
  </si>
  <si>
    <t>[9] Mentions the net weight of the entire server chassis as 75.3kg.</t>
  </si>
  <si>
    <t>NVIDIA DGX H100 System</t>
  </si>
  <si>
    <t>[14]</t>
  </si>
  <si>
    <t>Memory results obtained by multiplying a single H100 by 8.</t>
  </si>
  <si>
    <t>NVIDIA HGX B200 System</t>
  </si>
  <si>
    <t>[16], [15], [19]</t>
  </si>
  <si>
    <t>[16] mentions a weight of 84.5kg. [19] Mentions DGXB200 at 14.3kW.</t>
  </si>
  <si>
    <t>NVIDIA DGX GB200 NVL72 System</t>
  </si>
  <si>
    <t>[16], [17], [20]</t>
  </si>
  <si>
    <t>[17] mentions a system weight of 1.36 metric ton. [20] mentions a projected power of 120kW.</t>
  </si>
  <si>
    <t>Cerebras WSE</t>
  </si>
  <si>
    <t>[18], [19]</t>
  </si>
  <si>
    <t>[19] mentions the system power. Additionally has 1.2TB of memory off-chip.</t>
  </si>
  <si>
    <t>Xilinx VIRTEX-5QV</t>
  </si>
  <si>
    <t>[21]</t>
  </si>
  <si>
    <t>[21] Assume 300 Mhz. Bandwidth only using I/O bandwidht</t>
  </si>
  <si>
    <t>AMD 9950X3D</t>
  </si>
  <si>
    <t>Self Profiles</t>
  </si>
  <si>
    <t>RTX 5090</t>
  </si>
  <si>
    <t>2 x EPYC9575F</t>
  </si>
  <si>
    <t>Nvidia Jetson Orin NX</t>
  </si>
  <si>
    <t>67 AI TOPs. Div by ten</t>
  </si>
  <si>
    <t>Nvidia AGX Orin</t>
  </si>
  <si>
    <t>27.5 AI TOPs. Div by ten</t>
  </si>
  <si>
    <t>SambNoba SN40L</t>
  </si>
  <si>
    <t>Nvidia B200 x2</t>
  </si>
  <si>
    <t>Nvidia B200 x4</t>
  </si>
  <si>
    <t>Device</t>
  </si>
  <si>
    <t>System</t>
  </si>
  <si>
    <t>Actual Runtime</t>
  </si>
  <si>
    <t>Predicted Runtime</t>
  </si>
  <si>
    <t>Accuracy</t>
  </si>
  <si>
    <t>HLC</t>
  </si>
  <si>
    <t>HabEx Channel A</t>
  </si>
  <si>
    <t>Batch Size 1</t>
  </si>
  <si>
    <t>Batch Size 8</t>
  </si>
  <si>
    <t>Batch Size 32</t>
  </si>
  <si>
    <t>Batch Size 64</t>
  </si>
  <si>
    <t>cnn_total_mean=1.24ms  backbone_mean=0.96ms  head_mean=0.30ms  p50=1.21ms  p95=1.38ms  FPS~808.6</t>
  </si>
  <si>
    <t>[device=cuda bs=8 amp=False] cnn_total_mean=1.22ms  backbone_mean=0.93ms  head_mean=0.32ms  p50=1.21ms  p95=1.28ms  FPS~6558.8</t>
  </si>
  <si>
    <t>[device=cuda bs=32 amp=False] cnn_total_mean=1.43ms  backbone_mean=0.99ms  head_mean=0.47ms  p50=1.43ms  p95=1.48ms  FPS~22301.8</t>
  </si>
  <si>
    <t>[device=cuda bs=64 amp=False] cnn_total_mean=1.80ms</t>
  </si>
  <si>
    <t>DM actuators on side</t>
  </si>
  <si>
    <t>WFIRST</t>
  </si>
  <si>
    <t>HabEx</t>
  </si>
  <si>
    <t>LUVOIR NUV A</t>
  </si>
  <si>
    <t>LUVOIR A</t>
  </si>
  <si>
    <t>LUVOIR NIR A</t>
  </si>
  <si>
    <t>LUVOIR NUV B</t>
  </si>
  <si>
    <t>LUVOIR B</t>
  </si>
  <si>
    <t>LUVOIR VIS B</t>
  </si>
  <si>
    <t>LUVOIR NIR B</t>
  </si>
  <si>
    <t>HWO EAC-1</t>
  </si>
  <si>
    <t>HWO</t>
  </si>
  <si>
    <t>Area (um^2)</t>
  </si>
  <si>
    <t>Source</t>
  </si>
  <si>
    <t>ASAP 7nm</t>
  </si>
  <si>
    <t>Synthesis</t>
  </si>
  <si>
    <t>DesignWare 580MHz</t>
  </si>
  <si>
    <t>DP-FMA</t>
  </si>
  <si>
    <t>STM 90nm</t>
  </si>
  <si>
    <t>[26]</t>
  </si>
  <si>
    <t>DesignWare 330MHz</t>
  </si>
  <si>
    <t>Nand 45nm</t>
  </si>
  <si>
    <t>ID</t>
  </si>
  <si>
    <t>Type</t>
  </si>
  <si>
    <t>Title</t>
  </si>
  <si>
    <t>Link</t>
  </si>
  <si>
    <t>[1]</t>
  </si>
  <si>
    <t>Paper</t>
  </si>
  <si>
    <t>Computational complexities of image plane algorithms for high contrast imaging in space telescopes</t>
  </si>
  <si>
    <r>
      <rPr>
        <color rgb="FF1155CC"/>
        <u/>
      </rPr>
      <t>https://doi.org/10.1117/1.JATIS.8.4.049003</t>
    </r>
  </si>
  <si>
    <t>[2]</t>
  </si>
  <si>
    <t>Data Sheet</t>
  </si>
  <si>
    <t>RAD5545™ SpaceVPX</t>
  </si>
  <si>
    <t>https://www.baesystems.com/en-us/dam/jcr:cd804739-19fa-43f6-b47a-c58eb18e3bba/17-c09-RAD5545-SpaceVPX-SBC-v1-2-Flight-ds-2025-web.pdf</t>
  </si>
  <si>
    <t>[3]</t>
  </si>
  <si>
    <t>SpaceVPX SDR Modular Payload for Space</t>
  </si>
  <si>
    <t>https://www.baesystems.com/en-us/dam/jcr:76bd3e43-0c31-481e-8e69-ddbf6f29a43d/SpaceVPX_SDR_datasheet_2025_web.pdf</t>
  </si>
  <si>
    <t>Codebase</t>
  </si>
  <si>
    <t>PyTorch GEMM TFLOPS and Memory Bandwidth Benchmark</t>
  </si>
  <si>
    <t>https://github.com/huoshenlaile/gpu-perf</t>
  </si>
  <si>
    <t>Nvidia Blackwell</t>
  </si>
  <si>
    <t>https://nvdam.widen.net/s/wwnsxrhm2w/blackwell-datasheet-3384703</t>
  </si>
  <si>
    <t>Nvidia H100 Tensor Core GPU</t>
  </si>
  <si>
    <t>https://resources.nvidia.com/en-us-hopper-architecture/nvidia-tensor-core-gpu-datasheet?ncid=no-ncid</t>
  </si>
  <si>
    <t>[7]</t>
  </si>
  <si>
    <t>Product Brief</t>
  </si>
  <si>
    <t>Nvidia H100 PCIe GPU</t>
  </si>
  <si>
    <t>https://www.nvidia.com/content/dam/en-zz/Solutions/gtcs22/data-center/h100/PB-11133-001_v01.pdf</t>
  </si>
  <si>
    <t>[8]</t>
  </si>
  <si>
    <t>AMD Instinc MI300X Accelerator</t>
  </si>
  <si>
    <t>https://www.amd.com/content/dam/amd/en/documents/instinct-tech-docs/data-sheets/amd-instinct-mi300x-data-sheet.pdf</t>
  </si>
  <si>
    <t>GigaIO Accelerator Pooling Appliance - MI300X</t>
  </si>
  <si>
    <t>https://gigaio.com/wp-content/uploads/2025/04/GigaIO_Data-Sheet_APA-MI300X_v1.02_04012025.pdf</t>
  </si>
  <si>
    <t>[10]</t>
  </si>
  <si>
    <t>Webpage</t>
  </si>
  <si>
    <t>ANAFRA - AMD Instinct MI300X 192GB HBM3</t>
  </si>
  <si>
    <t>https://smicro.eu/amd-instinct-mi300x-192gb-hbm3-100-300000045h?srsltid=AfmBOopYaD0mAzkuXZOuTLlmBbMuVuVBNwtte1N2ylmPc-4rHqllj47L</t>
  </si>
  <si>
    <t>AMD Instinct MI325X Platform</t>
  </si>
  <si>
    <t>https://www.amd.com/content/dam/amd/en/documents/instinct-tech-docs/product-briefs/instinct-mi325x-platform-datasheet.pdf</t>
  </si>
  <si>
    <t>Nvidia H200 Tensor Core GPU</t>
  </si>
  <si>
    <t>https://nvdam.widen.net/s/nb5zzzsjdf/hpc-datasheet-sc23-h200-datasheet-3002446</t>
  </si>
  <si>
    <t>AMD Instinct MI355X GPU</t>
  </si>
  <si>
    <t>https://www.amd.com/content/dam/amd/en/documents/instinct-tech-docs/product-briefs/amd-instinct-mi355x-gpu-brochure.pdf</t>
  </si>
  <si>
    <t xml:space="preserve">Data Sheet </t>
  </si>
  <si>
    <t>Nvidia DGX H100</t>
  </si>
  <si>
    <t>https://resources.nvidia.com/en-us-dgx-systems/ai-enterprise-dgx?ncid=no-ncid&amp;xs=489753</t>
  </si>
  <si>
    <t>[15]</t>
  </si>
  <si>
    <t>Nvidia DGX GB200 NVL42</t>
  </si>
  <si>
    <t>[16]</t>
  </si>
  <si>
    <t>Web Page</t>
  </si>
  <si>
    <t>BIZON X9000 G4 – 8 GPU NVIDIA HGX B200 AI GPU Server for Data Centers (SXM5)</t>
  </si>
  <si>
    <t>https://bizon-tech.com/bizon-x9000-g4.html#specs</t>
  </si>
  <si>
    <t>[17]</t>
  </si>
  <si>
    <t>Web Article</t>
  </si>
  <si>
    <t>Is Your Data Center Ready for the NVIDIA GB200 NVL72?</t>
  </si>
  <si>
    <t>https://www.sunbirddcim.com/blog/your-data-center-ready-nvidia-gb200-nvl72#:~:text=The%20GB200%20NVL72%20weights%201.36%20metrics%20tons%2C%20or%203%2C000%20pounds.</t>
  </si>
  <si>
    <t>[18]</t>
  </si>
  <si>
    <t>Wafer-Scale Engine 3: The Largest Chip Ever Built</t>
  </si>
  <si>
    <t>https://8968533.fs1.hubspotusercontent-na1.net/hubfs/8968533/Datasheets/WSE-3%20Datasheet.pdf</t>
  </si>
  <si>
    <t>[19]</t>
  </si>
  <si>
    <t>A Comparison of the Cerebras Wafer-Scale Integration Technology with Nvidia GPU-based Systems for Artificial Intelligence</t>
  </si>
  <si>
    <t>https://arxiv.org/abs/2503.11698v1</t>
  </si>
  <si>
    <t>[20]</t>
  </si>
  <si>
    <t>Nvidia GB200 NVL72 For AI Training and Inference</t>
  </si>
  <si>
    <t>https://datacrunch.io/blog/nvidia-gb200-nvl72-for-ai-training-and-inference</t>
  </si>
  <si>
    <t xml:space="preserve">SPACE-GRADE RAD - HARD VIRTEX-5QV FPGA Highest-Density, Highest-Performance Rad-Hard FPGA </t>
  </si>
  <si>
    <t>https://www.xilinx.com/publications/prod_mktg/virtex5qv-product-brief.pdf</t>
  </si>
  <si>
    <t>[22]</t>
  </si>
  <si>
    <t>100GB/S two-iteration concatenated BCH decoder architecture for optical communications</t>
  </si>
  <si>
    <t>https://ieeexplore.ieee.org/document/5624879</t>
  </si>
  <si>
    <t>[23]</t>
  </si>
  <si>
    <t>Free Space Optics for Next-Generation Satellite Networks</t>
  </si>
  <si>
    <r>
      <rPr>
        <color rgb="FF1155CC"/>
        <u/>
      </rPr>
      <t>https://ieeexplore.ieee.org/abstract/document/9219130</t>
    </r>
  </si>
  <si>
    <t>[24]</t>
  </si>
  <si>
    <t>Jacobian-free coronagraphic wavefront control using nonlinear optimization</t>
  </si>
  <si>
    <t>https://labsites.rochester.edu/fienup/wp-content/uploads/2021/02/SDW_JacobianFreeWFC-NLO_JATIS2021.pdf</t>
  </si>
  <si>
    <t>[25]</t>
  </si>
  <si>
    <t>Repo</t>
  </si>
  <si>
    <t>convnet-burden</t>
  </si>
  <si>
    <r>
      <rPr>
        <color rgb="FF1155CC"/>
        <u/>
      </rPr>
      <t>albanie/convnet-burden: Memory consumption and FLOP count estimates for convnets</t>
    </r>
  </si>
  <si>
    <t>Efficient Multiple-Precision Floating-Point Fused Multiply-Add with Mixed-Precision Support</t>
  </si>
  <si>
    <t>[27]</t>
  </si>
  <si>
    <t>A 22nm 1Mb 1024b-Read and Near-Memory-Computing Dual-Mode STT-MRAM Macro with 42.6GB/s Read Bandwidth for Security-Aware Mobile Devices</t>
  </si>
  <si>
    <t>https://ieeexplore.ieee.org/document/9063072</t>
  </si>
  <si>
    <t>[28]</t>
  </si>
  <si>
    <t>A 0.5-V 125-MHz 256-Kb 22-nm SRAM With 10-aJ/bit Active Energy and 10-pW/bit Shutdown Power</t>
  </si>
  <si>
    <t>[29]</t>
  </si>
  <si>
    <t>A 38.1Mb/mm^2 SRAM in a 2nm-CMOS-Nanosheet Technology for High-Density and Energy-Efficient Compute</t>
  </si>
  <si>
    <t>[30]</t>
  </si>
  <si>
    <t>A 4-nm 1.15 TB/s HBM3 Interface With Resistor-Tuned Offset Calibration and In Situ Margin Detection</t>
  </si>
  <si>
    <t>[31]</t>
  </si>
  <si>
    <t>A 6.4Gb/s/pin HBM3 Digital PHY with Low-Power, Area-Efficient Techniques for Chiplet-Based AI processors in 12-nm CMOS</t>
  </si>
  <si>
    <t>[32]</t>
  </si>
  <si>
    <t>EMBER: A 100 MHz, 0.86 mm^2 , Multiple-Bits-per-Cell RRAM Macro in 40 nm CMOS with Compact Peripherals and 1.0 pJ/bit Read Circuitry</t>
  </si>
  <si>
    <t>[33]</t>
  </si>
  <si>
    <t>Next-Generation Ultrahigh-Density 3-D Vertical Resistive Switching Memory (VRSM)—Part II: Design Guidelines for Device, Array, and Architecture</t>
  </si>
  <si>
    <t>[34]</t>
  </si>
  <si>
    <t>A 32Mb RRAM in a 12nm FinFet Technology with a 0.0249μm2 Bit-Cell, a 3.2GB/S Read Throughput, a 10KCycle Write Endurance and a 10-Year Retention at 105°C</t>
  </si>
  <si>
    <t>[35]</t>
  </si>
  <si>
    <t>3-D Vertical Resistive Switching Random Access Memory (3D-VRRAM) With Multilevel Programming for High-Density, Energy-Efficient In-Memory Computing</t>
  </si>
  <si>
    <t>[36]</t>
  </si>
  <si>
    <t>16-layer 3D Vertical RRAM with Low Read Latency (18ns), High Nonlinearity (&gt;5000) and Ultra-low Leakage Current (~pA) Self-Selective Cells</t>
  </si>
  <si>
    <t>[37]</t>
  </si>
  <si>
    <t>Leadership HPC Performance with 5th Generation AMD EPYC Processors</t>
  </si>
  <si>
    <t>https://www.amd.com/en/blogs/2025/leadership-hpc-performance-with-5th-generation-amd.html</t>
  </si>
  <si>
    <t>[38]</t>
  </si>
  <si>
    <t>AMD's Turin: 5th Gen EPYC Launched</t>
  </si>
  <si>
    <t>https://chipsandcheese.com/p/amds-turin-5th-gen-epyc-launched</t>
  </si>
  <si>
    <t>KFF*Pixels*Channel</t>
  </si>
  <si>
    <t>2*N*M</t>
  </si>
  <si>
    <t>FLOPs</t>
  </si>
  <si>
    <r>
      <rPr>
        <rFont val="Arial"/>
        <b/>
        <color theme="1"/>
      </rPr>
      <t>Fin</t>
    </r>
    <r>
      <rPr>
        <rFont val="Arial"/>
        <color theme="1"/>
      </rPr>
      <t xml:space="preserve">FET </t>
    </r>
    <r>
      <rPr>
        <rFont val="Arial"/>
        <b/>
        <color theme="1"/>
      </rPr>
      <t>D</t>
    </r>
    <r>
      <rPr>
        <rFont val="Arial"/>
        <color theme="1"/>
      </rPr>
      <t>ielectric RRAM (FIND RRAM)</t>
    </r>
  </si>
  <si>
    <t>Modulation Scheme</t>
  </si>
  <si>
    <t xml:space="preserve">Throughput </t>
  </si>
  <si>
    <t>Latency</t>
  </si>
  <si>
    <t>G975.1-I.3 concatenated BCH decoder</t>
  </si>
  <si>
    <t>81.9 Gbps</t>
  </si>
  <si>
    <t>25.5μs</t>
  </si>
  <si>
    <t>End-to-end 1 hop</t>
  </si>
  <si>
    <t>10 Gbps</t>
  </si>
  <si>
    <t>5.87ms</t>
  </si>
  <si>
    <t>Distance (m)</t>
  </si>
  <si>
    <t>Distance log(m)</t>
  </si>
  <si>
    <t>Latency (ms)</t>
  </si>
  <si>
    <t>SNR</t>
  </si>
  <si>
    <t>Bandwidth (GB/s)</t>
  </si>
  <si>
    <t>Transfer Time (ms)</t>
  </si>
  <si>
    <t>10 second round trip</t>
  </si>
  <si>
    <t>100Hz)</t>
  </si>
  <si>
    <t>0.1Hz</t>
  </si>
  <si>
    <t>KM</t>
  </si>
  <si>
    <t>System Specs</t>
  </si>
  <si>
    <t>OWA (L/D)</t>
  </si>
  <si>
    <t>DM Actuator on Side</t>
  </si>
  <si>
    <t>Pixels Across Pupil</t>
  </si>
  <si>
    <t>Visible Actuators (N)</t>
  </si>
  <si>
    <t>NEFC</t>
  </si>
  <si>
    <t>LUVOIR-A</t>
  </si>
  <si>
    <t>Bandwidth Formula</t>
  </si>
  <si>
    <t>Bandwidth</t>
  </si>
  <si>
    <t>Capacity Formula</t>
  </si>
  <si>
    <t>Capacity</t>
  </si>
  <si>
    <t>Link Transfer Formula</t>
  </si>
  <si>
    <t>Link Transfer</t>
  </si>
  <si>
    <t>Probing</t>
  </si>
  <si>
    <t xml:space="preserve"> ???</t>
  </si>
  <si>
    <t>???</t>
  </si>
  <si>
    <t>Estimation (EKF)</t>
  </si>
  <si>
    <t>KFF*#pixels*#channels</t>
  </si>
  <si>
    <t>13*NBytes</t>
  </si>
  <si>
    <t>N*M*NBytes/Float*NEFCGAINS</t>
  </si>
  <si>
    <t>2*#pixels*#channels*Nprobe</t>
  </si>
  <si>
    <t>EFC</t>
  </si>
  <si>
    <t xml:space="preserve"> (M+N+1)N + M</t>
  </si>
  <si>
    <t>N*N*NBytes</t>
  </si>
  <si>
    <t>Control Hz</t>
  </si>
  <si>
    <t>Required FLOP/s</t>
  </si>
  <si>
    <t>(In G/s)</t>
  </si>
  <si>
    <t>Required Memory Throughput/s</t>
  </si>
  <si>
    <t>(In GB/s)</t>
  </si>
  <si>
    <t>Required Link Rate</t>
  </si>
  <si>
    <t>(In T/s)</t>
  </si>
  <si>
    <t>(In TB/s)</t>
  </si>
  <si>
    <t>Max Hz (fp32)</t>
  </si>
  <si>
    <t>Max Hz (fp64)</t>
  </si>
  <si>
    <t>FP32 Time (hr)</t>
  </si>
  <si>
    <t>BAE RAD5545</t>
  </si>
  <si>
    <t>Apple M3 MAX</t>
  </si>
  <si>
    <t>FP32 ALU Estimates</t>
  </si>
  <si>
    <t>Area (mm^2)</t>
  </si>
  <si>
    <t>Max Die Size</t>
  </si>
  <si>
    <t>FP 32 ALU Size (mm^2)</t>
  </si>
  <si>
    <t>Compute Area</t>
  </si>
  <si>
    <t>Total PE</t>
  </si>
  <si>
    <t>Systolic Array Size</t>
  </si>
  <si>
    <t>Frequency (MHz)</t>
  </si>
  <si>
    <t>MAC Flops (TFLOP/s)</t>
  </si>
  <si>
    <t>Hz</t>
  </si>
  <si>
    <t>FLOP/Cycle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</si>
</sst>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E+00"/>
    <numFmt numFmtId="165" formatCode="#,##0.00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trike/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color rgb="FF000000"/>
      <name val="Klavika"/>
    </font>
    <font>
      <color rgb="FF363737"/>
      <name val="&quot;Roboto Slab&quot;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1" xfId="0" applyAlignment="1" applyFont="1" applyNumberFormat="1">
      <alignment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5" fontId="2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2" numFmtId="11" xfId="0" applyFont="1" applyNumberFormat="1"/>
    <xf borderId="0" fillId="2" fontId="2" numFmtId="0" xfId="0" applyAlignment="1" applyFont="1">
      <alignment readingOrder="0"/>
    </xf>
    <xf borderId="0" fillId="0" fontId="2" numFmtId="11" xfId="0" applyFont="1" applyNumberFormat="1"/>
    <xf borderId="0" fillId="2" fontId="2" numFmtId="11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4" numFmtId="11" xfId="0" applyFont="1" applyNumberFormat="1"/>
    <xf borderId="0" fillId="0" fontId="4" numFmtId="11" xfId="0" applyAlignment="1" applyFont="1" applyNumberFormat="1">
      <alignment readingOrder="0"/>
    </xf>
    <xf borderId="0" fillId="0" fontId="4" numFmtId="0" xfId="0" applyFont="1"/>
    <xf borderId="0" fillId="0" fontId="2" numFmtId="164" xfId="0" applyFont="1" applyNumberFormat="1"/>
    <xf borderId="0" fillId="2" fontId="3" numFmtId="0" xfId="0" applyAlignment="1" applyFont="1">
      <alignment readingOrder="0" shrinkToFit="0" wrapText="1"/>
    </xf>
    <xf borderId="0" fillId="7" fontId="2" numFmtId="0" xfId="0" applyFill="1" applyFont="1"/>
    <xf borderId="0" fillId="7" fontId="2" numFmtId="11" xfId="0" applyFont="1" applyNumberForma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3" fontId="2" numFmtId="11" xfId="0" applyAlignment="1" applyFont="1" applyNumberFormat="1">
      <alignment readingOrder="0"/>
    </xf>
    <xf borderId="0" fillId="3" fontId="2" numFmtId="0" xfId="0" applyFont="1"/>
    <xf borderId="0" fillId="0" fontId="2" numFmtId="0" xfId="0" applyAlignment="1" applyFont="1">
      <alignment shrinkToFit="0" wrapText="0"/>
    </xf>
    <xf borderId="0" fillId="4" fontId="2" numFmtId="0" xfId="0" applyAlignment="1" applyFont="1">
      <alignment readingOrder="0"/>
    </xf>
    <xf borderId="0" fillId="2" fontId="2" numFmtId="4" xfId="0" applyFont="1" applyNumberFormat="1"/>
    <xf borderId="0" fillId="2" fontId="2" numFmtId="165" xfId="0" applyFont="1" applyNumberFormat="1"/>
    <xf borderId="0" fillId="2" fontId="2" numFmtId="1" xfId="0" applyFont="1" applyNumberFormat="1"/>
    <xf borderId="0" fillId="0" fontId="2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horizontal="left" readingOrder="0"/>
    </xf>
    <xf borderId="0" fillId="2" fontId="2" numFmtId="4" xfId="0" applyAlignment="1" applyFont="1" applyNumberFormat="1">
      <alignment horizontal="right" readingOrder="0" shrinkToFit="0" vertical="top" wrapText="1"/>
    </xf>
    <xf borderId="0" fillId="2" fontId="2" numFmtId="4" xfId="0" applyAlignment="1" applyFont="1" applyNumberFormat="1">
      <alignment horizontal="right"/>
    </xf>
    <xf borderId="0" fillId="3" fontId="2" numFmtId="0" xfId="0" applyAlignment="1" applyFont="1">
      <alignment horizontal="left" readingOrder="0" shrinkToFit="0" vertical="top" wrapText="1"/>
    </xf>
    <xf borderId="0" fillId="2" fontId="2" numFmtId="11" xfId="0" applyAlignment="1" applyFont="1" applyNumberFormat="1">
      <alignment horizontal="right"/>
    </xf>
    <xf borderId="0" fillId="0" fontId="2" numFmtId="4" xfId="0" applyFont="1" applyNumberFormat="1"/>
    <xf borderId="0" fillId="8" fontId="2" numFmtId="0" xfId="0" applyFill="1" applyFont="1"/>
    <xf borderId="0" fillId="3" fontId="2" numFmtId="0" xfId="0" applyAlignment="1" applyFont="1">
      <alignment horizontal="center" readingOrder="0"/>
    </xf>
    <xf borderId="0" fillId="9" fontId="2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Font="1" applyNumberFormat="1"/>
    <xf borderId="0" fillId="10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8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2" fontId="2" numFmtId="4" xfId="0" applyAlignment="1" applyFont="1" applyNumberFormat="1">
      <alignment readingOrder="0"/>
    </xf>
    <xf borderId="0" fillId="8" fontId="2" numFmtId="4" xfId="0" applyAlignment="1" applyFont="1" applyNumberFormat="1">
      <alignment readingOrder="0"/>
    </xf>
    <xf borderId="0" fillId="2" fontId="2" numFmtId="3" xfId="0" applyAlignment="1" applyFont="1" applyNumberFormat="1">
      <alignment readingOrder="0"/>
    </xf>
    <xf borderId="0" fillId="7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10" fontId="2" numFmtId="3" xfId="0" applyFont="1" applyNumberFormat="1"/>
    <xf borderId="0" fillId="10" fontId="2" numFmtId="0" xfId="0" applyFont="1"/>
    <xf borderId="0" fillId="10" fontId="2" numFmtId="3" xfId="0" applyAlignment="1" applyFont="1" applyNumberFormat="1">
      <alignment readingOrder="0"/>
    </xf>
    <xf borderId="0" fillId="10" fontId="2" numFmtId="4" xfId="0" applyAlignment="1" applyFont="1" applyNumberFormat="1">
      <alignment readingOrder="0"/>
    </xf>
    <xf borderId="0" fillId="8" fontId="2" numFmtId="3" xfId="0" applyAlignment="1" applyFont="1" applyNumberFormat="1">
      <alignment readingOrder="0"/>
    </xf>
    <xf borderId="0" fillId="7" fontId="2" numFmtId="4" xfId="0" applyAlignment="1" applyFont="1" applyNumberFormat="1">
      <alignment readingOrder="0"/>
    </xf>
    <xf borderId="0" fillId="0" fontId="2" numFmtId="9" xfId="0" applyFont="1" applyNumberFormat="1"/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" xfId="0" applyFont="1" applyNumberFormat="1"/>
    <xf borderId="0" fillId="0" fontId="2" numFmtId="4" xfId="0" applyAlignment="1" applyFont="1" applyNumberFormat="1">
      <alignment horizontal="right" readingOrder="0" shrinkToFit="0" vertical="top" wrapText="1"/>
    </xf>
    <xf borderId="0" fillId="0" fontId="2" numFmtId="4" xfId="0" applyAlignment="1" applyFont="1" applyNumberFormat="1">
      <alignment horizontal="right"/>
    </xf>
    <xf borderId="0" fillId="0" fontId="2" numFmtId="11" xfId="0" applyAlignment="1" applyFont="1" applyNumberFormat="1">
      <alignment horizontal="right"/>
    </xf>
    <xf borderId="0" fillId="0" fontId="1" numFmtId="0" xfId="0" applyAlignment="1" applyFont="1">
      <alignment readingOrder="0"/>
    </xf>
    <xf borderId="0" fillId="5" fontId="2" numFmtId="0" xfId="0" applyFont="1"/>
    <xf borderId="0" fillId="5" fontId="2" numFmtId="11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Main!$A$51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Main!$H$51</c:f>
              <c:numCache/>
            </c:numRef>
          </c:val>
        </c:ser>
        <c:overlap val="100"/>
        <c:axId val="650094245"/>
        <c:axId val="1334879310"/>
      </c:barChart>
      <c:catAx>
        <c:axId val="6500942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334879310"/>
      </c:catAx>
      <c:valAx>
        <c:axId val="13348793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6500942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overlap val="100"/>
        <c:axId val="518373269"/>
        <c:axId val="690752848"/>
      </c:barChart>
      <c:catAx>
        <c:axId val="5183732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Power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690752848"/>
      </c:catAx>
      <c:valAx>
        <c:axId val="6907528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 i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5183732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Main!$A$108</c:f>
              <c:numCache/>
            </c:numRef>
          </c:val>
        </c:ser>
        <c:overlap val="100"/>
        <c:axId val="596988065"/>
        <c:axId val="2003797442"/>
      </c:barChart>
      <c:catAx>
        <c:axId val="5969880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003797442"/>
      </c:catAx>
      <c:valAx>
        <c:axId val="20037974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 i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596988065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Main!$A$51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Main!$H$51</c:f>
              <c:numCache/>
            </c:numRef>
          </c:val>
        </c:ser>
        <c:overlap val="100"/>
        <c:axId val="1982579936"/>
        <c:axId val="1454507553"/>
      </c:barChart>
      <c:catAx>
        <c:axId val="19825799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Latency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454507553"/>
      </c:catAx>
      <c:valAx>
        <c:axId val="14545075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982579936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Main!$K$48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Main!$R$48</c:f>
              <c:numCache/>
            </c:numRef>
          </c:val>
        </c:ser>
        <c:overlap val="100"/>
        <c:axId val="44339256"/>
        <c:axId val="2147222901"/>
      </c:barChart>
      <c:catAx>
        <c:axId val="443392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147222901"/>
      </c:catAx>
      <c:valAx>
        <c:axId val="21472229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4433925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Main!$U$47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Main!$AB$47</c:f>
            </c:strRef>
          </c:cat>
          <c:val>
            <c:numRef>
              <c:f>Main!$AB$47</c:f>
              <c:numCache/>
            </c:numRef>
          </c:val>
        </c:ser>
        <c:overlap val="100"/>
        <c:axId val="1333623376"/>
        <c:axId val="341630603"/>
      </c:barChart>
      <c:catAx>
        <c:axId val="13336233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341630603"/>
      </c:catAx>
      <c:valAx>
        <c:axId val="3416306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33362337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Control Frequency vs Power (Nvidia GPUs)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'Compute Specs'!$K$1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'Compute Specs'!$D$2:$D$19</c:f>
            </c:numRef>
          </c:xVal>
          <c:yVal>
            <c:numRef>
              <c:f>'Compute Specs'!$K$2:$K$18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504868"/>
        <c:axId val="1253937429"/>
      </c:scatterChart>
      <c:valAx>
        <c:axId val="4045048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Power 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937429"/>
      </c:valAx>
      <c:valAx>
        <c:axId val="1253937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Control Frequency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504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'Obsolete Main'!$A$51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'Obsolete Main'!$H$51</c:f>
              <c:numCache/>
            </c:numRef>
          </c:val>
        </c:ser>
        <c:overlap val="100"/>
        <c:axId val="2051510103"/>
        <c:axId val="2084239369"/>
      </c:barChart>
      <c:catAx>
        <c:axId val="20515101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084239369"/>
      </c:catAx>
      <c:valAx>
        <c:axId val="20842393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0515101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overlap val="100"/>
        <c:axId val="840586697"/>
        <c:axId val="781672857"/>
      </c:barChart>
      <c:catAx>
        <c:axId val="8405866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Power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781672857"/>
      </c:catAx>
      <c:valAx>
        <c:axId val="781672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 i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8405866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'Obsolete Main'!$A$108</c:f>
              <c:numCache/>
            </c:numRef>
          </c:val>
        </c:ser>
        <c:overlap val="100"/>
        <c:axId val="789275129"/>
        <c:axId val="1983608525"/>
      </c:barChart>
      <c:catAx>
        <c:axId val="7892751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983608525"/>
      </c:catAx>
      <c:valAx>
        <c:axId val="19836085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 i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789275129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'Obsolete Main'!$A$51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'Obsolete Main'!$H$51</c:f>
              <c:numCache/>
            </c:numRef>
          </c:val>
        </c:ser>
        <c:overlap val="100"/>
        <c:axId val="1088153414"/>
        <c:axId val="649489695"/>
      </c:barChart>
      <c:catAx>
        <c:axId val="10881534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Latency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649489695"/>
      </c:catAx>
      <c:valAx>
        <c:axId val="6494896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08815341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'Obsolete Main'!$K$48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'Obsolete Main'!$R$48</c:f>
              <c:numCache/>
            </c:numRef>
          </c:val>
        </c:ser>
        <c:overlap val="100"/>
        <c:axId val="2108295934"/>
        <c:axId val="1133197206"/>
      </c:barChart>
      <c:catAx>
        <c:axId val="21082959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133197206"/>
      </c:catAx>
      <c:valAx>
        <c:axId val="11331972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10829593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'Obsolete Main'!$U$47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'Obsolete Main'!$AB$47</c:f>
            </c:strRef>
          </c:cat>
          <c:val>
            <c:numRef>
              <c:f>'Obsolete Main'!$AB$47</c:f>
              <c:numCache/>
            </c:numRef>
          </c:val>
        </c:ser>
        <c:overlap val="100"/>
        <c:axId val="503142390"/>
        <c:axId val="125833458"/>
      </c:barChart>
      <c:catAx>
        <c:axId val="5031423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25833458"/>
      </c:catAx>
      <c:valAx>
        <c:axId val="1258334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5031423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'Transfer Model'!$F$4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cat>
            <c:strRef>
              <c:f>'Transfer Model'!$B$5:$B$14</c:f>
            </c:strRef>
          </c:cat>
          <c:val>
            <c:numRef>
              <c:f>'Transfer Model'!$F$5:$F$14</c:f>
              <c:numCache/>
            </c:numRef>
          </c:val>
        </c:ser>
        <c:ser>
          <c:idx val="1"/>
          <c:order val="1"/>
          <c:tx>
            <c:strRef>
              <c:f>'Transfer Model'!$C$4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cat>
            <c:strRef>
              <c:f>'Transfer Model'!$B$5:$B$14</c:f>
            </c:strRef>
          </c:cat>
          <c:val>
            <c:numRef>
              <c:f>'Transfer Model'!$C$5:$C$14</c:f>
              <c:numCache/>
            </c:numRef>
          </c:val>
        </c:ser>
        <c:axId val="880972070"/>
        <c:axId val="138510700"/>
      </c:areaChart>
      <c:catAx>
        <c:axId val="88097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log(m)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10700"/>
      </c:catAx>
      <c:valAx>
        <c:axId val="138510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972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1333500</xdr:colOff>
      <xdr:row>56</xdr:row>
      <xdr:rowOff>190500</xdr:rowOff>
    </xdr:from>
    <xdr:ext cx="8515350" cy="666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866775</xdr:colOff>
      <xdr:row>129</xdr:row>
      <xdr:rowOff>142875</xdr:rowOff>
    </xdr:from>
    <xdr:ext cx="4552950" cy="752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133</xdr:row>
      <xdr:rowOff>95250</xdr:rowOff>
    </xdr:from>
    <xdr:ext cx="4552950" cy="619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866775</xdr:colOff>
      <xdr:row>137</xdr:row>
      <xdr:rowOff>114300</xdr:rowOff>
    </xdr:from>
    <xdr:ext cx="4552950" cy="1257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1371600</xdr:colOff>
      <xdr:row>54</xdr:row>
      <xdr:rowOff>142875</xdr:rowOff>
    </xdr:from>
    <xdr:ext cx="8515350" cy="666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657225</xdr:colOff>
      <xdr:row>54</xdr:row>
      <xdr:rowOff>85725</xdr:rowOff>
    </xdr:from>
    <xdr:ext cx="8515350" cy="666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18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1333500</xdr:colOff>
      <xdr:row>56</xdr:row>
      <xdr:rowOff>190500</xdr:rowOff>
    </xdr:from>
    <xdr:ext cx="8515350" cy="6667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866775</xdr:colOff>
      <xdr:row>129</xdr:row>
      <xdr:rowOff>142875</xdr:rowOff>
    </xdr:from>
    <xdr:ext cx="4552950" cy="7524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866775</xdr:colOff>
      <xdr:row>133</xdr:row>
      <xdr:rowOff>95250</xdr:rowOff>
    </xdr:from>
    <xdr:ext cx="4552950" cy="6191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866775</xdr:colOff>
      <xdr:row>137</xdr:row>
      <xdr:rowOff>114300</xdr:rowOff>
    </xdr:from>
    <xdr:ext cx="4552950" cy="12573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1371600</xdr:colOff>
      <xdr:row>54</xdr:row>
      <xdr:rowOff>142875</xdr:rowOff>
    </xdr:from>
    <xdr:ext cx="8515350" cy="6667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657225</xdr:colOff>
      <xdr:row>54</xdr:row>
      <xdr:rowOff>85725</xdr:rowOff>
    </xdr:from>
    <xdr:ext cx="8515350" cy="6667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</xdr:colOff>
      <xdr:row>21</xdr:row>
      <xdr:rowOff>85725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37</xdr:row>
      <xdr:rowOff>142875</xdr:rowOff>
    </xdr:from>
    <xdr:ext cx="5715000" cy="3533775"/>
    <xdr:pic>
      <xdr:nvPicPr>
        <xdr:cNvPr id="811206466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crunch.io/blog/nvidia-gb200-nvl72-for-ai-training-and-inference" TargetMode="External"/><Relationship Id="rId22" Type="http://schemas.openxmlformats.org/officeDocument/2006/relationships/hyperlink" Target="https://ieeexplore.ieee.org/document/5624879" TargetMode="External"/><Relationship Id="rId21" Type="http://schemas.openxmlformats.org/officeDocument/2006/relationships/hyperlink" Target="https://www.xilinx.com/publications/prod_mktg/virtex5qv-product-brief.pdf" TargetMode="External"/><Relationship Id="rId24" Type="http://schemas.openxmlformats.org/officeDocument/2006/relationships/hyperlink" Target="https://labsites.rochester.edu/fienup/wp-content/uploads/2021/02/SDW_JacobianFreeWFC-NLO_JATIS2021.pdf" TargetMode="External"/><Relationship Id="rId23" Type="http://schemas.openxmlformats.org/officeDocument/2006/relationships/hyperlink" Target="https://ieeexplore.ieee.org/abstract/document/9219130" TargetMode="External"/><Relationship Id="rId1" Type="http://schemas.openxmlformats.org/officeDocument/2006/relationships/hyperlink" Target="https://doi.org/10.1117/1.JATIS.8.4.049003" TargetMode="External"/><Relationship Id="rId2" Type="http://schemas.openxmlformats.org/officeDocument/2006/relationships/hyperlink" Target="https://www.google.com/url?sa=t&amp;source=web&amp;rct=j&amp;opi=89978449&amp;url=https://www.baesystems.com/en-us/dam/jcr:cd804739-19fa-43f6-b47a-c58eb18e3bba/17-c09-RAD5545-SpaceVPX-SBC-v1-2-Flight-ds-2025-web.pdf&amp;ved=2ahUKEwjkxu-ymuqOAxUP8ckDHSvRI1gQFnoECBMQAQ&amp;usg=AOvVaw2vs8MTCKQJotmn-vbaEb7J" TargetMode="External"/><Relationship Id="rId3" Type="http://schemas.openxmlformats.org/officeDocument/2006/relationships/hyperlink" Target="https://www.baesystems.com/en-us/dam/jcr:76bd3e43-0c31-481e-8e69-ddbf6f29a43d/SpaceVPX_SDR_datasheet_2025_web.pdf" TargetMode="External"/><Relationship Id="rId4" Type="http://schemas.openxmlformats.org/officeDocument/2006/relationships/hyperlink" Target="https://github.com/huoshenlaile/gpu-perf" TargetMode="External"/><Relationship Id="rId9" Type="http://schemas.openxmlformats.org/officeDocument/2006/relationships/hyperlink" Target="https://gigaio.com/wp-content/uploads/2025/04/GigaIO_Data-Sheet_APA-MI300X_v1.02_04012025.pdf" TargetMode="External"/><Relationship Id="rId26" Type="http://schemas.openxmlformats.org/officeDocument/2006/relationships/hyperlink" Target="https://ieeexplore.ieee.org/document/9063072" TargetMode="External"/><Relationship Id="rId25" Type="http://schemas.openxmlformats.org/officeDocument/2006/relationships/hyperlink" Target="https://github.com/albanie/convnet-burden" TargetMode="External"/><Relationship Id="rId28" Type="http://schemas.openxmlformats.org/officeDocument/2006/relationships/hyperlink" Target="https://chipsandcheese.com/p/amds-turin-5th-gen-epyc-launched" TargetMode="External"/><Relationship Id="rId27" Type="http://schemas.openxmlformats.org/officeDocument/2006/relationships/hyperlink" Target="https://www.amd.com/en/blogs/2025/leadership-hpc-performance-with-5th-generation-amd.html" TargetMode="External"/><Relationship Id="rId5" Type="http://schemas.openxmlformats.org/officeDocument/2006/relationships/hyperlink" Target="https://nvdam.widen.net/s/wwnsxrhm2w/blackwell-datasheet-3384703" TargetMode="External"/><Relationship Id="rId6" Type="http://schemas.openxmlformats.org/officeDocument/2006/relationships/hyperlink" Target="https://resources.nvidia.com/en-us-hopper-architecture/nvidia-tensor-core-gpu-datasheet?ncid=no-ncid" TargetMode="External"/><Relationship Id="rId29" Type="http://schemas.openxmlformats.org/officeDocument/2006/relationships/drawing" Target="../drawings/drawing6.xml"/><Relationship Id="rId7" Type="http://schemas.openxmlformats.org/officeDocument/2006/relationships/hyperlink" Target="https://www.nvidia.com/content/dam/en-zz/Solutions/gtcs22/data-center/h100/PB-11133-001_v01.pdf" TargetMode="External"/><Relationship Id="rId8" Type="http://schemas.openxmlformats.org/officeDocument/2006/relationships/hyperlink" Target="https://www.amd.com/content/dam/amd/en/documents/instinct-tech-docs/data-sheets/amd-instinct-mi300x-data-sheet.pdf" TargetMode="External"/><Relationship Id="rId11" Type="http://schemas.openxmlformats.org/officeDocument/2006/relationships/hyperlink" Target="https://www.amd.com/content/dam/amd/en/documents/instinct-tech-docs/product-briefs/instinct-mi325x-platform-datasheet.pdf" TargetMode="External"/><Relationship Id="rId10" Type="http://schemas.openxmlformats.org/officeDocument/2006/relationships/hyperlink" Target="https://smicro.eu/amd-instinct-mi300x-192gb-hbm3-100-300000045h?srsltid=AfmBOopYaD0mAzkuXZOuTLlmBbMuVuVBNwtte1N2ylmPc-4rHqllj47L" TargetMode="External"/><Relationship Id="rId13" Type="http://schemas.openxmlformats.org/officeDocument/2006/relationships/hyperlink" Target="https://www.amd.com/content/dam/amd/en/documents/instinct-tech-docs/product-briefs/amd-instinct-mi355x-gpu-brochure.pdf" TargetMode="External"/><Relationship Id="rId12" Type="http://schemas.openxmlformats.org/officeDocument/2006/relationships/hyperlink" Target="https://nvdam.widen.net/s/nb5zzzsjdf/hpc-datasheet-sc23-h200-datasheet-3002446" TargetMode="External"/><Relationship Id="rId15" Type="http://schemas.openxmlformats.org/officeDocument/2006/relationships/hyperlink" Target="https://nvdam.widen.net/s/wwnsxrhm2w/blackwell-datasheet-3384703" TargetMode="External"/><Relationship Id="rId14" Type="http://schemas.openxmlformats.org/officeDocument/2006/relationships/hyperlink" Target="https://resources.nvidia.com/en-us-dgx-systems/ai-enterprise-dgx?ncid=no-ncid&amp;xs=489753" TargetMode="External"/><Relationship Id="rId17" Type="http://schemas.openxmlformats.org/officeDocument/2006/relationships/hyperlink" Target="https://www.sunbirddcim.com/blog/your-data-center-ready-nvidia-gb200-nvl72" TargetMode="External"/><Relationship Id="rId16" Type="http://schemas.openxmlformats.org/officeDocument/2006/relationships/hyperlink" Target="https://bizon-tech.com/bizon-x9000-g4.html" TargetMode="External"/><Relationship Id="rId19" Type="http://schemas.openxmlformats.org/officeDocument/2006/relationships/hyperlink" Target="https://arxiv.org/abs/2503.11698v1" TargetMode="External"/><Relationship Id="rId18" Type="http://schemas.openxmlformats.org/officeDocument/2006/relationships/hyperlink" Target="https://8968533.fs1.hubspotusercontent-na1.net/hubfs/8968533/Datasheets/WSE-3%20Datasheet.pdf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7.63"/>
    <col customWidth="1" min="3" max="3" width="17.63"/>
    <col customWidth="1" min="4" max="4" width="12.38"/>
    <col customWidth="1" min="5" max="5" width="31.0"/>
    <col customWidth="1" min="6" max="6" width="16.0"/>
    <col customWidth="1" min="7" max="7" width="18.0"/>
    <col customWidth="1" min="8" max="8" width="15.5"/>
    <col customWidth="1" min="9" max="9" width="19.0"/>
    <col customWidth="1" min="10" max="10" width="18.38"/>
    <col customWidth="1" min="11" max="11" width="19.0"/>
    <col customWidth="1" min="12" max="12" width="18.25"/>
    <col customWidth="1" min="21" max="21" width="23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10</v>
      </c>
    </row>
    <row r="3">
      <c r="A3" s="3" t="s">
        <v>11</v>
      </c>
      <c r="B3" s="4" t="str">
        <f t="array" ref="B3">IF($A$3="","",INDEX('System Specs'!B:B,MATCH($A$3,'System Specs'!$A:$A,0)))</f>
        <v>LUVOIR A</v>
      </c>
      <c r="C3" s="4">
        <f t="array" ref="C3">IF($A$3="","",INDEX('System Specs'!C:C,MATCH($A$3,'System Specs'!$A:$A,0)))</f>
        <v>5</v>
      </c>
      <c r="D3" s="4">
        <f t="array" ref="D3">IF($A$3="","",INDEX('System Specs'!D:D,MATCH($A$3,'System Specs'!$A:$A,0)))</f>
        <v>3.5</v>
      </c>
      <c r="E3" s="4">
        <f t="array" ref="E3">IF($A$3="","",INDEX('System Specs'!E:E,MATCH($A$3,'System Specs'!$A:$A,0)))</f>
        <v>64</v>
      </c>
      <c r="F3" s="4">
        <f t="array" ref="F3">IF($A$3="","",INDEX('System Specs'!F:F,MATCH($A$3,'System Specs'!$A:$A,0)))</f>
        <v>128</v>
      </c>
      <c r="G3" s="4">
        <f t="array" ref="G3">IF($A$3="","",INDEX('System Specs'!G:G,MATCH($A$3,'System Specs'!$A:$A,0)))</f>
        <v>400</v>
      </c>
      <c r="H3" s="3">
        <v>0.5</v>
      </c>
      <c r="I3" s="3">
        <v>3.125</v>
      </c>
      <c r="J3" s="5">
        <v>0.001</v>
      </c>
    </row>
    <row r="6">
      <c r="A6" s="6" t="s">
        <v>12</v>
      </c>
      <c r="E6" s="6" t="s">
        <v>13</v>
      </c>
      <c r="L6" s="7"/>
    </row>
    <row r="7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8" t="s">
        <v>24</v>
      </c>
    </row>
    <row r="8">
      <c r="A8" s="9">
        <f>ROUND(PI()*(E3^2-D3^2),0)</f>
        <v>12829</v>
      </c>
      <c r="B8" s="9">
        <f>A8/H3/H3</f>
        <v>51316</v>
      </c>
      <c r="C8" s="9">
        <f>B8*C3*2</f>
        <v>513160</v>
      </c>
      <c r="D8" s="9">
        <f>ROUND(2*PI()*(F3/2)^2,0)</f>
        <v>25736</v>
      </c>
      <c r="E8" s="10">
        <v>7.0</v>
      </c>
      <c r="F8" s="10">
        <v>35.0</v>
      </c>
      <c r="G8" s="10">
        <v>4.0</v>
      </c>
      <c r="H8" s="10">
        <v>8.0</v>
      </c>
      <c r="I8" s="10">
        <v>12.0</v>
      </c>
      <c r="J8" s="9">
        <f>C8*D8*H8/10^9</f>
        <v>105.6534861</v>
      </c>
      <c r="K8" s="9">
        <f>D8*D8*H8/10^9</f>
        <v>5.298733568</v>
      </c>
    </row>
    <row r="10">
      <c r="A10" s="6" t="s">
        <v>25</v>
      </c>
      <c r="I10" s="6" t="s">
        <v>26</v>
      </c>
      <c r="K10" s="7"/>
      <c r="L10" s="7"/>
      <c r="M10" s="7"/>
      <c r="N10" s="7"/>
      <c r="O10" s="7"/>
      <c r="P10" s="7"/>
    </row>
    <row r="11">
      <c r="A11" s="2" t="s">
        <v>27</v>
      </c>
      <c r="E11" s="8" t="s">
        <v>28</v>
      </c>
      <c r="F11" s="8" t="s">
        <v>29</v>
      </c>
      <c r="G11" s="8" t="s">
        <v>30</v>
      </c>
      <c r="H11" s="8" t="s">
        <v>31</v>
      </c>
      <c r="I11" s="2" t="s">
        <v>32</v>
      </c>
      <c r="J11" s="2" t="s">
        <v>33</v>
      </c>
      <c r="K11" s="2" t="s">
        <v>34</v>
      </c>
    </row>
    <row r="12">
      <c r="A12" s="11" t="s">
        <v>35</v>
      </c>
      <c r="B12" s="9"/>
      <c r="C12" s="9"/>
      <c r="E12" s="10">
        <v>15.0</v>
      </c>
      <c r="F12" s="10">
        <v>10.0</v>
      </c>
      <c r="G12" s="9">
        <f>B8/100</f>
        <v>513.16</v>
      </c>
      <c r="H12" s="10">
        <v>15.0</v>
      </c>
      <c r="I12" s="10">
        <f>32</f>
        <v>32</v>
      </c>
      <c r="J12" s="10">
        <v>2.6</v>
      </c>
      <c r="K12" s="12">
        <f>10*100*((8*C8+16*A8)*7+16*D8)</f>
        <v>30585584000</v>
      </c>
    </row>
    <row r="13">
      <c r="I13" s="2" t="s">
        <v>36</v>
      </c>
      <c r="J13" s="2" t="s">
        <v>37</v>
      </c>
    </row>
    <row r="14">
      <c r="I14" s="3">
        <v>2.0</v>
      </c>
      <c r="J14" s="3">
        <v>1.3</v>
      </c>
    </row>
    <row r="17">
      <c r="A17" s="6" t="s">
        <v>38</v>
      </c>
    </row>
    <row r="18">
      <c r="A18" s="2" t="s">
        <v>39</v>
      </c>
      <c r="B18" s="2" t="s">
        <v>40</v>
      </c>
      <c r="C18" s="2" t="s">
        <v>41</v>
      </c>
      <c r="D18" s="2" t="s">
        <v>42</v>
      </c>
      <c r="E18" s="2" t="s">
        <v>43</v>
      </c>
      <c r="F18" s="2" t="s">
        <v>44</v>
      </c>
      <c r="G18" s="2" t="s">
        <v>45</v>
      </c>
      <c r="H18" s="2" t="s">
        <v>46</v>
      </c>
      <c r="I18" s="2" t="s">
        <v>47</v>
      </c>
      <c r="J18" s="2" t="s">
        <v>48</v>
      </c>
    </row>
    <row r="19">
      <c r="A19" s="3" t="s">
        <v>49</v>
      </c>
      <c r="B19" s="13" t="s">
        <v>50</v>
      </c>
      <c r="C19" s="14">
        <f>2*D8</f>
        <v>51472</v>
      </c>
      <c r="D19" s="14">
        <f t="shared" ref="D19:D27" si="1">C19/10^9</f>
        <v>0.000051472</v>
      </c>
      <c r="E19" s="10" t="s">
        <v>50</v>
      </c>
      <c r="F19" s="12">
        <f>D8*H8</f>
        <v>205888</v>
      </c>
      <c r="G19" s="12">
        <f t="shared" ref="G19:G27" si="2">F19/10^9</f>
        <v>0.000205888</v>
      </c>
      <c r="H19" s="12">
        <f t="shared" ref="H19:H27" si="3">F19/10^12</f>
        <v>0.000000205888</v>
      </c>
      <c r="I19" s="15">
        <f>B8*C3*I8/8/10^9</f>
        <v>0.00038487</v>
      </c>
      <c r="J19" s="3" t="s">
        <v>51</v>
      </c>
    </row>
    <row r="20">
      <c r="A20" s="3" t="s">
        <v>52</v>
      </c>
      <c r="B20" s="3" t="s">
        <v>53</v>
      </c>
      <c r="C20" s="14">
        <f>20*E8*C8</f>
        <v>71842400</v>
      </c>
      <c r="D20" s="14">
        <f t="shared" si="1"/>
        <v>0.0718424</v>
      </c>
      <c r="E20" s="3" t="s">
        <v>54</v>
      </c>
      <c r="F20" s="12">
        <f>E8*C8*H8</f>
        <v>28736960</v>
      </c>
      <c r="G20" s="12">
        <f t="shared" si="2"/>
        <v>0.02873696</v>
      </c>
      <c r="H20" s="12">
        <f t="shared" si="3"/>
        <v>0.00002873696</v>
      </c>
      <c r="I20" s="12">
        <f>(1+E8*2)*B8*C3*I8/8/10^9</f>
        <v>0.00577305</v>
      </c>
      <c r="J20" s="3" t="s">
        <v>55</v>
      </c>
    </row>
    <row r="21">
      <c r="A21" s="3" t="s">
        <v>56</v>
      </c>
      <c r="B21" s="16" t="s">
        <v>57</v>
      </c>
      <c r="C21" s="14">
        <f>F8*C8+2*C8*D8</f>
        <v>26431332120</v>
      </c>
      <c r="D21" s="14">
        <f t="shared" si="1"/>
        <v>26.43133212</v>
      </c>
      <c r="E21" s="16" t="s">
        <v>58</v>
      </c>
      <c r="F21" s="12">
        <f>F8*C8*H8+C8*D8*H8</f>
        <v>105797170880</v>
      </c>
      <c r="G21" s="12">
        <f t="shared" si="2"/>
        <v>105.7971709</v>
      </c>
      <c r="H21" s="12">
        <f t="shared" si="3"/>
        <v>0.1057971709</v>
      </c>
      <c r="I21" s="15">
        <v>0.0</v>
      </c>
      <c r="J21" s="3"/>
      <c r="K21" s="3"/>
    </row>
    <row r="22">
      <c r="A22" s="17" t="s">
        <v>59</v>
      </c>
      <c r="B22" s="18" t="s">
        <v>60</v>
      </c>
      <c r="C22" s="19">
        <f>(5*E8+F8)*B8*C3</f>
        <v>17960600</v>
      </c>
      <c r="D22" s="19">
        <f t="shared" si="1"/>
        <v>0.0179606</v>
      </c>
      <c r="E22" s="18" t="s">
        <v>60</v>
      </c>
      <c r="F22" s="19">
        <f>(5*E8+F8)*B8*C3*H8</f>
        <v>143684800</v>
      </c>
      <c r="G22" s="19">
        <f t="shared" si="2"/>
        <v>0.1436848</v>
      </c>
      <c r="H22" s="19">
        <f t="shared" si="3"/>
        <v>0.0001436848</v>
      </c>
      <c r="I22" s="20">
        <v>0.0</v>
      </c>
      <c r="J22" s="21"/>
    </row>
    <row r="23">
      <c r="A23" s="3" t="s">
        <v>61</v>
      </c>
      <c r="B23" s="16" t="s">
        <v>62</v>
      </c>
      <c r="C23" s="14">
        <f>2*D8*C8</f>
        <v>26413371520</v>
      </c>
      <c r="D23" s="14">
        <f t="shared" si="1"/>
        <v>26.41337152</v>
      </c>
      <c r="E23" s="16" t="s">
        <v>63</v>
      </c>
      <c r="F23" s="12">
        <f>(D8*(C8+D8)*H8)</f>
        <v>110952219648</v>
      </c>
      <c r="G23" s="12">
        <f t="shared" si="2"/>
        <v>110.9522196</v>
      </c>
      <c r="H23" s="12">
        <f t="shared" si="3"/>
        <v>0.1109522196</v>
      </c>
      <c r="I23" s="15">
        <f>D8*H8/10^9</f>
        <v>0.000205888</v>
      </c>
      <c r="J23" s="22">
        <f>I23*1000*1000</f>
        <v>205.888</v>
      </c>
    </row>
    <row r="24">
      <c r="A24" s="3" t="s">
        <v>64</v>
      </c>
      <c r="B24" s="10" t="s">
        <v>65</v>
      </c>
      <c r="C24" s="14">
        <f>C8*D8*D8</f>
        <v>339887264719360</v>
      </c>
      <c r="D24" s="14">
        <f t="shared" si="1"/>
        <v>339887.2647</v>
      </c>
      <c r="E24" s="10" t="s">
        <v>66</v>
      </c>
      <c r="F24" s="12">
        <f>D8*(2*D8+C8)</f>
        <v>14531369152</v>
      </c>
      <c r="G24" s="12">
        <f t="shared" si="2"/>
        <v>14.53136915</v>
      </c>
      <c r="H24" s="12">
        <f t="shared" si="3"/>
        <v>0.01453136915</v>
      </c>
      <c r="I24" s="15">
        <v>0.0</v>
      </c>
    </row>
    <row r="25">
      <c r="A25" s="3" t="s">
        <v>67</v>
      </c>
      <c r="B25" s="11" t="s">
        <v>68</v>
      </c>
      <c r="C25" s="14">
        <f>(2*D8^3/3)*G8</f>
        <v>45456069035349</v>
      </c>
      <c r="D25" s="14">
        <f t="shared" si="1"/>
        <v>45456.06904</v>
      </c>
      <c r="E25" s="10" t="s">
        <v>69</v>
      </c>
      <c r="F25" s="12">
        <f>3*D8^2*G8*H8</f>
        <v>63584802816</v>
      </c>
      <c r="G25" s="12">
        <f t="shared" si="2"/>
        <v>63.58480282</v>
      </c>
      <c r="H25" s="12">
        <f t="shared" si="3"/>
        <v>0.06358480282</v>
      </c>
      <c r="I25" s="15">
        <v>0.0</v>
      </c>
    </row>
    <row r="26">
      <c r="A26" s="3" t="s">
        <v>70</v>
      </c>
      <c r="B26" s="3" t="s">
        <v>71</v>
      </c>
      <c r="C26" s="14">
        <f>C24+C25</f>
        <v>385343333754709</v>
      </c>
      <c r="D26" s="14">
        <f t="shared" si="1"/>
        <v>385343.3338</v>
      </c>
      <c r="F26" s="12">
        <f>F24+F25</f>
        <v>78116171968</v>
      </c>
      <c r="G26" s="12">
        <f t="shared" si="2"/>
        <v>78.11617197</v>
      </c>
      <c r="H26" s="12">
        <f t="shared" si="3"/>
        <v>0.07811617197</v>
      </c>
      <c r="I26" s="15">
        <v>0.0</v>
      </c>
    </row>
    <row r="27">
      <c r="A27" s="3" t="s">
        <v>72</v>
      </c>
      <c r="B27" s="23" t="s">
        <v>73</v>
      </c>
      <c r="C27" s="14">
        <f>H12*(C3*(14*B8*LOG(B8,2)+7*B8+2*G12*D8+D8)+(4*F12-1)*D8*G8*10)</f>
        <v>3455191414</v>
      </c>
      <c r="D27" s="14">
        <f t="shared" si="1"/>
        <v>3.455191414</v>
      </c>
      <c r="E27" s="10" t="s">
        <v>74</v>
      </c>
      <c r="F27" s="12">
        <f>(12*C3 + 16)*2048*2048</f>
        <v>318767104</v>
      </c>
      <c r="G27" s="12">
        <f t="shared" si="2"/>
        <v>0.318767104</v>
      </c>
      <c r="H27" s="12">
        <f t="shared" si="3"/>
        <v>0.000318767104</v>
      </c>
      <c r="I27" s="15">
        <v>0.0</v>
      </c>
    </row>
    <row r="28">
      <c r="F28" s="14"/>
      <c r="G28" s="14"/>
      <c r="H28" s="14">
        <f>F30/10^12</f>
        <v>0.292299836</v>
      </c>
      <c r="I28" s="5">
        <v>0.0</v>
      </c>
    </row>
    <row r="29">
      <c r="A29" s="3" t="s">
        <v>75</v>
      </c>
      <c r="B29" s="3"/>
      <c r="C29" s="5">
        <v>2.0E9</v>
      </c>
      <c r="D29" s="14">
        <f t="shared" ref="D29:D31" si="4">C29/10^9</f>
        <v>2</v>
      </c>
      <c r="F29" s="15">
        <v>5.0E8</v>
      </c>
      <c r="G29" s="12">
        <f t="shared" ref="G29:G31" si="5">F29/10^9</f>
        <v>0.5</v>
      </c>
      <c r="H29" s="12">
        <f t="shared" ref="H29:H31" si="6">F29/10^12</f>
        <v>0.0005</v>
      </c>
      <c r="I29" s="5">
        <v>0.0</v>
      </c>
    </row>
    <row r="30">
      <c r="A30" s="3" t="s">
        <v>76</v>
      </c>
      <c r="B30" s="3" t="s">
        <v>77</v>
      </c>
      <c r="C30" s="14">
        <f>2/3*(C8)^3+2*(B8)^2*(C8)</f>
        <v>9.27907E+16</v>
      </c>
      <c r="D30" s="14">
        <f t="shared" si="4"/>
        <v>92790679.5</v>
      </c>
      <c r="E30" s="3" t="s">
        <v>78</v>
      </c>
      <c r="F30" s="12">
        <f>(B8)^2+(B8)*(C8)+(C8)^2</f>
        <v>292299836016</v>
      </c>
      <c r="G30" s="12">
        <f t="shared" si="5"/>
        <v>292.299836</v>
      </c>
      <c r="H30" s="12">
        <f t="shared" si="6"/>
        <v>0.292299836</v>
      </c>
      <c r="I30" s="14"/>
    </row>
    <row r="31">
      <c r="A31" s="3" t="s">
        <v>79</v>
      </c>
      <c r="B31" s="3" t="s">
        <v>80</v>
      </c>
      <c r="C31" s="14">
        <f>(B8)*(C8)</f>
        <v>26333318560</v>
      </c>
      <c r="D31" s="14">
        <f t="shared" si="4"/>
        <v>26.33331856</v>
      </c>
      <c r="E31" s="3" t="s">
        <v>81</v>
      </c>
      <c r="F31" s="12">
        <f>(B8)*((B8)+(C8))</f>
        <v>28966650416</v>
      </c>
      <c r="G31" s="12">
        <f t="shared" si="5"/>
        <v>28.96665042</v>
      </c>
      <c r="H31" s="12">
        <f t="shared" si="6"/>
        <v>0.02896665042</v>
      </c>
      <c r="I31" s="14"/>
      <c r="K31" s="3"/>
    </row>
    <row r="32">
      <c r="F32" s="24"/>
      <c r="G32" s="24"/>
      <c r="H32" s="25"/>
    </row>
    <row r="33">
      <c r="A33" s="3" t="s">
        <v>82</v>
      </c>
      <c r="E33" s="3" t="s">
        <v>83</v>
      </c>
      <c r="F33" s="12">
        <f>C8*H8</f>
        <v>4105280</v>
      </c>
      <c r="G33" s="12">
        <f t="shared" ref="G33:G34" si="7">F33/10^9</f>
        <v>0.00410528</v>
      </c>
      <c r="H33" s="12">
        <f t="shared" ref="H33:H34" si="8">F33/10^12</f>
        <v>0.00000410528</v>
      </c>
      <c r="I33" s="14"/>
    </row>
    <row r="34">
      <c r="A34" s="3" t="s">
        <v>84</v>
      </c>
      <c r="E34" s="3" t="s">
        <v>50</v>
      </c>
      <c r="F34" s="12">
        <f>D8*H8</f>
        <v>205888</v>
      </c>
      <c r="G34" s="12">
        <f t="shared" si="7"/>
        <v>0.000205888</v>
      </c>
      <c r="H34" s="12">
        <f t="shared" si="8"/>
        <v>0.000000205888</v>
      </c>
      <c r="I34" s="14"/>
    </row>
    <row r="35">
      <c r="U35" s="3" t="s">
        <v>85</v>
      </c>
    </row>
    <row r="36">
      <c r="U36" s="3" t="s">
        <v>86</v>
      </c>
      <c r="V36" s="3" t="s">
        <v>87</v>
      </c>
      <c r="W36" s="3" t="s">
        <v>88</v>
      </c>
    </row>
    <row r="37">
      <c r="V37" s="3" t="s">
        <v>53</v>
      </c>
      <c r="W37" s="3" t="s">
        <v>54</v>
      </c>
    </row>
    <row r="38">
      <c r="U38" s="3" t="s">
        <v>89</v>
      </c>
      <c r="V38" s="3" t="s">
        <v>87</v>
      </c>
      <c r="W38" s="3" t="s">
        <v>88</v>
      </c>
    </row>
    <row r="39">
      <c r="A39" s="2" t="s">
        <v>90</v>
      </c>
      <c r="V39" s="26" t="s">
        <v>77</v>
      </c>
      <c r="W39" s="26" t="s">
        <v>91</v>
      </c>
    </row>
    <row r="40">
      <c r="A40" s="3">
        <v>1.0</v>
      </c>
      <c r="K40" s="3" t="s">
        <v>92</v>
      </c>
      <c r="U40" s="3" t="s">
        <v>93</v>
      </c>
      <c r="V40" s="3" t="s">
        <v>87</v>
      </c>
      <c r="W40" s="3" t="s">
        <v>88</v>
      </c>
    </row>
    <row r="41">
      <c r="A41" s="6" t="s">
        <v>94</v>
      </c>
      <c r="K41" s="3" t="s">
        <v>42</v>
      </c>
      <c r="L41" s="27" t="s">
        <v>73</v>
      </c>
      <c r="V41" s="28" t="s">
        <v>80</v>
      </c>
      <c r="W41" s="28" t="s">
        <v>81</v>
      </c>
    </row>
    <row r="42">
      <c r="A42" s="2" t="s">
        <v>95</v>
      </c>
      <c r="B42" s="2" t="s">
        <v>96</v>
      </c>
      <c r="C42" s="29" t="s">
        <v>97</v>
      </c>
      <c r="D42" s="2" t="s">
        <v>98</v>
      </c>
      <c r="E42" s="2" t="s">
        <v>99</v>
      </c>
      <c r="F42" s="2" t="s">
        <v>100</v>
      </c>
      <c r="G42" s="2" t="s">
        <v>101</v>
      </c>
      <c r="H42" s="2" t="s">
        <v>102</v>
      </c>
      <c r="I42" s="30"/>
      <c r="K42" s="3" t="s">
        <v>88</v>
      </c>
      <c r="L42" s="3" t="s">
        <v>74</v>
      </c>
    </row>
    <row r="43">
      <c r="A43" s="3" t="s">
        <v>103</v>
      </c>
      <c r="B43" s="4">
        <f t="array" ref="B43">IF($A$43="","",INDEX('Compute Specs'!B:B,MATCH($A$43,'Compute Specs'!$A:$A,0)))*A40</f>
        <v>0</v>
      </c>
      <c r="C43" s="4">
        <f t="array" ref="C43">IF($A$43="","",INDEX('Compute Specs'!C:C,MATCH($A$43,'Compute Specs'!$A:$A,0)))*A40</f>
        <v>7.51192351</v>
      </c>
      <c r="D43" s="4">
        <f t="array" ref="D43">IF($A$43="","",INDEX('Compute Specs'!D:D,MATCH($A$43,'Compute Specs'!$A:$A,0)))*A40</f>
        <v>0</v>
      </c>
      <c r="E43" s="4">
        <f t="array" ref="E43">IF($A$43="","",INDEX('Compute Specs'!E:E,MATCH($A$43,'Compute Specs'!$A:$A,0)))*A40</f>
        <v>110</v>
      </c>
      <c r="F43" s="14">
        <f t="array" ref="F43">IF($A$43="","",INDEX('Compute Specs'!F:F,MATCH($A$43,'Compute Specs'!$A:$A,0)))*A40</f>
        <v>29.25</v>
      </c>
      <c r="G43" s="31" t="str">
        <f t="array" ref="G43">IF($A$43="","",INDEX('Compute Specs'!G:G,MATCH($A$43,'Compute Specs'!$A:$A,0)))</f>
        <v/>
      </c>
      <c r="H43" s="4" t="str">
        <f t="array" ref="H43">IF($A$43="","",INDEX('Compute Specs'!H:H,MATCH($A$43,'Compute Specs'!$A:$A,0)))</f>
        <v/>
      </c>
    </row>
    <row r="44">
      <c r="A44" s="3"/>
      <c r="G44" s="31"/>
      <c r="K44" s="3" t="s">
        <v>104</v>
      </c>
      <c r="U44" s="3" t="s">
        <v>105</v>
      </c>
    </row>
    <row r="45">
      <c r="A45" s="2" t="s">
        <v>106</v>
      </c>
      <c r="B45" s="2" t="s">
        <v>96</v>
      </c>
      <c r="C45" s="29" t="s">
        <v>97</v>
      </c>
      <c r="D45" s="2" t="s">
        <v>98</v>
      </c>
      <c r="E45" s="2" t="s">
        <v>99</v>
      </c>
      <c r="F45" s="2" t="s">
        <v>100</v>
      </c>
      <c r="G45" s="2" t="s">
        <v>101</v>
      </c>
      <c r="H45" s="2" t="s">
        <v>102</v>
      </c>
      <c r="I45" s="30"/>
      <c r="K45" s="32" t="s">
        <v>25</v>
      </c>
      <c r="L45" s="6" t="s">
        <v>107</v>
      </c>
      <c r="U45" s="32" t="s">
        <v>108</v>
      </c>
      <c r="V45" s="6" t="s">
        <v>107</v>
      </c>
    </row>
    <row r="46">
      <c r="A46" s="3" t="s">
        <v>109</v>
      </c>
      <c r="B46" s="4">
        <f t="array" ref="B46">IF($A$46="","",INDEX('Compute Specs'!B:B,MATCH($A$46,'Compute Specs'!$A:$A,0)))*$A$40</f>
        <v>0.0352</v>
      </c>
      <c r="C46" s="4">
        <f t="array" ref="C46">IF($A46="","",INDEX('Compute Specs'!C:C,MATCH($A46,'Compute Specs'!$A:$A,0)))*$A$40</f>
        <v>0.0352</v>
      </c>
      <c r="D46" s="4">
        <f t="array" ref="D46">IF($A46="","",INDEX('Compute Specs'!D:D,MATCH($A46,'Compute Specs'!$A:$A,0)))*A$40</f>
        <v>0</v>
      </c>
      <c r="E46" s="4">
        <f t="array" ref="E46">IF($A$46="","",INDEX('Compute Specs'!E:E,MATCH($A$46,'Compute Specs'!$A:$A,0)))*A$40</f>
        <v>128</v>
      </c>
      <c r="F46" s="4">
        <f t="array" ref="F46">IF($A$46="","",INDEX('Compute Specs'!F:F,MATCH($A$46,'Compute Specs'!$A:$A,0)))*A40</f>
        <v>0.0576</v>
      </c>
      <c r="G46" s="31" t="str">
        <f t="array" ref="G46">IF($A$43="","",INDEX('Compute Specs'!G:G,MATCH($A$43,'Compute Specs'!$A:$A,0)))</f>
        <v/>
      </c>
      <c r="H46" s="4" t="str">
        <f t="array" ref="H46">IF($A$43="","",INDEX('Compute Specs'!H:H,MATCH($A$43,'Compute Specs'!$A:$A,0)))</f>
        <v/>
      </c>
      <c r="K46" s="2" t="s">
        <v>52</v>
      </c>
      <c r="L46" s="2" t="s">
        <v>42</v>
      </c>
      <c r="M46" s="2" t="s">
        <v>46</v>
      </c>
      <c r="N46" s="2" t="s">
        <v>110</v>
      </c>
      <c r="O46" s="2" t="s">
        <v>111</v>
      </c>
      <c r="P46" s="2" t="s">
        <v>112</v>
      </c>
      <c r="Q46" s="2" t="s">
        <v>113</v>
      </c>
      <c r="R46" s="2" t="s">
        <v>114</v>
      </c>
      <c r="S46" s="2" t="s">
        <v>115</v>
      </c>
      <c r="U46" s="2" t="s">
        <v>52</v>
      </c>
      <c r="V46" s="2" t="s">
        <v>42</v>
      </c>
      <c r="W46" s="2" t="s">
        <v>46</v>
      </c>
      <c r="X46" s="2" t="s">
        <v>110</v>
      </c>
      <c r="Y46" s="2" t="s">
        <v>111</v>
      </c>
      <c r="Z46" s="2" t="s">
        <v>112</v>
      </c>
      <c r="AA46" s="2" t="s">
        <v>113</v>
      </c>
      <c r="AB46" s="2" t="s">
        <v>114</v>
      </c>
      <c r="AC46" s="2" t="s">
        <v>115</v>
      </c>
    </row>
    <row r="47">
      <c r="C47" s="14"/>
      <c r="F47" s="14"/>
      <c r="G47" s="14"/>
      <c r="K47" s="3"/>
      <c r="P47" s="4" t="str">
        <f t="array" ref="P47">IF($K47="","",INDEX(Main!I:I,MATCH($K47,Main!$A:$A,0))/$I$3)</f>
        <v/>
      </c>
      <c r="U47" s="3"/>
      <c r="Z47" s="4" t="str">
        <f t="array" ref="Z47">IF($K47="","",INDEX(Main!S:S,MATCH($K47,Main!$A:$A,0))/$I$3)</f>
        <v/>
      </c>
    </row>
    <row r="48">
      <c r="K48" s="3" t="str">
        <f>IF($K$46="Adjoint EFC",A21,A20)</f>
        <v>Pairwise Probing</v>
      </c>
      <c r="L48" s="15">
        <f t="array" ref="L48">IF($K48="","",INDEX(Main!D:D,MATCH($K48,Main!$A:$A,0)))</f>
        <v>0.0718424</v>
      </c>
      <c r="M48" s="15">
        <f t="array" ref="M48">IF($K48="","",INDEX(Main!H:H,MATCH($K48,Main!$A:$A,0)))</f>
        <v>0.00002873696</v>
      </c>
      <c r="N48" s="33">
        <f t="shared" ref="N48:N49" si="9">L48*10^9/M48/10^12</f>
        <v>2.5</v>
      </c>
      <c r="O48" s="10">
        <f t="shared" ref="O48:O49" si="10">MIN(IF($H$8=4,$B$43,$C$43),N48*$F$46)*1000</f>
        <v>144</v>
      </c>
      <c r="P48" s="12">
        <f t="array" ref="P48">IF($K48="","",INDEX(Main!I:I,MATCH($K48,Main!$A:$A,0))/$I$3)</f>
        <v>0.001847376</v>
      </c>
      <c r="Q48" s="10" t="s">
        <v>116</v>
      </c>
      <c r="R48" s="15">
        <f t="shared" ref="R48:R49" si="11">L48/O48</f>
        <v>0.0004989055556</v>
      </c>
      <c r="S48" s="15">
        <f t="shared" ref="S48:S49" si="12">R48*$D$43</f>
        <v>0</v>
      </c>
      <c r="U48" s="3" t="str">
        <f>IF($K$46="Precomputed Gain",A21,A20)</f>
        <v>Pairwise Probing</v>
      </c>
      <c r="V48" s="15">
        <f t="array" ref="V48">IF($U48="","",INDEX(Main!D:D,MATCH($U48,Main!$A:$A,0)))</f>
        <v>0.0718424</v>
      </c>
      <c r="W48" s="15">
        <f t="array" ref="W48">IF($U48="","",INDEX(Main!H:H,MATCH($U48,Main!$A:$A,0)))</f>
        <v>0.00002873696</v>
      </c>
      <c r="X48" s="15">
        <f t="shared" ref="X48:X50" si="13">V48*10^9/W48/10^12</f>
        <v>2.5</v>
      </c>
      <c r="Y48" s="10">
        <f t="shared" ref="Y48:Y50" si="14">MIN(IF($H$8=4,$B$43,$C$43),X48*$F$46)*1000</f>
        <v>144</v>
      </c>
      <c r="Z48" s="15">
        <f t="array" ref="Z48">IF($U48="","",INDEX(Main!H:H,MATCH($U48,Main!$A:$A,0)))</f>
        <v>0.00002873696</v>
      </c>
      <c r="AA48" s="10" t="s">
        <v>117</v>
      </c>
      <c r="AB48" s="15">
        <f t="shared" ref="AB48:AB50" si="15">V48/Y48</f>
        <v>0.0004989055556</v>
      </c>
      <c r="AC48" s="15">
        <f t="shared" ref="AC48:AC49" si="16">AB48*$D$43</f>
        <v>0</v>
      </c>
    </row>
    <row r="49">
      <c r="A49" s="32" t="s">
        <v>108</v>
      </c>
      <c r="B49" s="6" t="s">
        <v>107</v>
      </c>
      <c r="K49" s="3" t="str">
        <f>IF($K$46="Adjoint EFC",A27,A27)</f>
        <v>Adjoint Based</v>
      </c>
      <c r="L49" s="15">
        <f t="array" ref="L49">IF($K49="","",INDEX(Main!D:D,MATCH($K49,Main!$A:$A,0)))</f>
        <v>3.455191414</v>
      </c>
      <c r="M49" s="15">
        <f t="array" ref="M49">IF($K49="","",INDEX(Main!H:H,MATCH($K49,Main!$A:$A,0)))</f>
        <v>0.000318767104</v>
      </c>
      <c r="N49" s="33">
        <f t="shared" si="9"/>
        <v>10.83923457</v>
      </c>
      <c r="O49" s="10">
        <f t="shared" si="10"/>
        <v>624.3399113</v>
      </c>
      <c r="P49" s="12">
        <f t="array" ref="P49">IF($K49="","",INDEX(Main!I:I,MATCH($K49,Main!$A:$A,0))/$I$3)</f>
        <v>0</v>
      </c>
      <c r="Q49" s="10" t="s">
        <v>116</v>
      </c>
      <c r="R49" s="15">
        <f t="shared" si="11"/>
        <v>0.005534151111</v>
      </c>
      <c r="S49" s="15">
        <f t="shared" si="12"/>
        <v>0</v>
      </c>
      <c r="U49" s="3" t="s">
        <v>118</v>
      </c>
      <c r="V49" s="15">
        <f t="array" ref="V49">IF($U49="","",INDEX(Main!D:D,MATCH($U49,Main!$A:$A,0)))</f>
        <v>92790679.5</v>
      </c>
      <c r="W49" s="15">
        <f t="array" ref="W49">IF($U49="","",INDEX(Main!H:H,MATCH($U49,Main!$A:$A,0)))</f>
        <v>0.292299836</v>
      </c>
      <c r="X49" s="15">
        <f t="shared" si="13"/>
        <v>317450.3303</v>
      </c>
      <c r="Y49" s="10">
        <f t="shared" si="14"/>
        <v>7511.92351</v>
      </c>
      <c r="Z49" s="15">
        <f t="array" ref="Z49">IF($U49="","",INDEX(Main!H:H,MATCH($U49,Main!$A:$A,0)))</f>
        <v>0.292299836</v>
      </c>
      <c r="AA49" s="10" t="s">
        <v>117</v>
      </c>
      <c r="AB49" s="15">
        <f t="shared" si="15"/>
        <v>12352.45265</v>
      </c>
      <c r="AC49" s="15">
        <f t="shared" si="16"/>
        <v>0</v>
      </c>
    </row>
    <row r="50">
      <c r="A50" s="2" t="s">
        <v>119</v>
      </c>
      <c r="B50" s="2" t="s">
        <v>42</v>
      </c>
      <c r="C50" s="2" t="s">
        <v>46</v>
      </c>
      <c r="D50" s="2" t="s">
        <v>110</v>
      </c>
      <c r="E50" s="2" t="s">
        <v>111</v>
      </c>
      <c r="F50" s="2" t="s">
        <v>112</v>
      </c>
      <c r="G50" s="2" t="s">
        <v>113</v>
      </c>
      <c r="H50" s="2" t="s">
        <v>114</v>
      </c>
      <c r="I50" s="2" t="s">
        <v>115</v>
      </c>
      <c r="K50" s="3" t="str">
        <f>IF(E77=0,"","Broadcast/Gather")</f>
        <v>Broadcast/Gather</v>
      </c>
      <c r="L50" s="10" t="str">
        <f t="array" ref="L50">IF($K50="","",INDEX(Main!D:D,MATCH($K50,Main!$A:$A,0)))</f>
        <v/>
      </c>
      <c r="M50" s="9"/>
      <c r="N50" s="9"/>
      <c r="O50" s="9"/>
      <c r="P50" s="12">
        <f>G77+H77</f>
        <v>0.000776174</v>
      </c>
      <c r="Q50" s="10" t="s">
        <v>120</v>
      </c>
      <c r="R50" s="12">
        <f>IF(E77&gt;0,P50,)</f>
        <v>0.000776174</v>
      </c>
      <c r="S50" s="9"/>
      <c r="U50" s="3" t="s">
        <v>79</v>
      </c>
      <c r="V50" s="15">
        <f t="array" ref="V50">IF($U50="","",INDEX(Main!D:D,MATCH($U50,Main!$A:$A,0)))</f>
        <v>26.33331856</v>
      </c>
      <c r="W50" s="15">
        <f t="array" ref="W50">IF($U50="","",INDEX(Main!H:H,MATCH($U50,Main!$A:$A,0)))</f>
        <v>0.02896665042</v>
      </c>
      <c r="X50" s="15">
        <f t="shared" si="13"/>
        <v>0.9090909091</v>
      </c>
      <c r="Y50" s="10">
        <f t="shared" si="14"/>
        <v>52.36363636</v>
      </c>
      <c r="Z50" s="15">
        <f t="array" ref="Z50">IF($U50="","",INDEX(Main!H:H,MATCH($U50,Main!$A:$A,0)))</f>
        <v>0.02896665042</v>
      </c>
      <c r="AA50" s="10" t="s">
        <v>117</v>
      </c>
      <c r="AB50" s="15">
        <f t="shared" si="15"/>
        <v>0.5028932364</v>
      </c>
      <c r="AC50" s="9"/>
    </row>
    <row r="51">
      <c r="A51" s="3" t="str">
        <f>IF($A$50="Pairwise Probing",A20,A19)</f>
        <v>Dither Generation</v>
      </c>
      <c r="B51" s="12">
        <f t="array" ref="B51">IF($A51="","",INDEX(Main!D:D,MATCH($A51,Main!$A:$A,0)))</f>
        <v>0.000051472</v>
      </c>
      <c r="C51" s="12">
        <f t="array" ref="C51">IF($A51="","",INDEX(Main!H:H,MATCH($A51,Main!$A:$A,0)))</f>
        <v>0.000000205888</v>
      </c>
      <c r="D51" s="33">
        <f t="shared" ref="D51:D53" si="17">B51*10^9/C51/10^12</f>
        <v>0.25</v>
      </c>
      <c r="E51" s="9">
        <f>MIN(IF($H$8=4,$B$46,$C$46),D51*$F$46)*1000</f>
        <v>14.4</v>
      </c>
      <c r="F51" s="12">
        <f t="array" ref="F51">IF($A51="","",INDEX(Main!I:I,MATCH($A51,Main!$A:$A,0))/$I$3)</f>
        <v>0.0001231584</v>
      </c>
      <c r="G51" s="12" t="str">
        <f t="shared" ref="G51:G53" si="18">IF($B$43&gt;D51*$F$43,"Memory","Compute")</f>
        <v>Compute</v>
      </c>
      <c r="H51" s="12">
        <f>B51/E51</f>
        <v>0.000003574444444</v>
      </c>
      <c r="I51" s="12">
        <f t="shared" ref="I51:I53" si="19">H51*$D$43</f>
        <v>0</v>
      </c>
      <c r="K51" s="3" t="s">
        <v>121</v>
      </c>
      <c r="L51" s="10">
        <v>0.0</v>
      </c>
      <c r="M51" s="10">
        <v>0.0</v>
      </c>
      <c r="N51" s="10">
        <v>0.0</v>
      </c>
      <c r="O51" s="10">
        <v>0.0</v>
      </c>
      <c r="P51" s="12">
        <f>SUM(P47:P49)+2*J3</f>
        <v>0.003847376</v>
      </c>
      <c r="Q51" s="10" t="s">
        <v>122</v>
      </c>
      <c r="R51" s="12">
        <f>P51</f>
        <v>0.003847376</v>
      </c>
      <c r="S51" s="9"/>
      <c r="Z51" s="14"/>
    </row>
    <row r="52">
      <c r="A52" s="4" t="str">
        <f>IF($A$50="Pairwise Probing",A22,A21)</f>
        <v>EKF</v>
      </c>
      <c r="B52" s="12">
        <f t="array" ref="B52">IF($A52="","",INDEX(Main!D:D,MATCH($A52,Main!$A:$A,0)))</f>
        <v>26.43133212</v>
      </c>
      <c r="C52" s="12">
        <f t="array" ref="C52">IF($A52="","",INDEX(Main!H:H,MATCH($A52,Main!$A:$A,0)))</f>
        <v>0.1057971709</v>
      </c>
      <c r="D52" s="33">
        <f t="shared" si="17"/>
        <v>0.2498302355</v>
      </c>
      <c r="E52" s="9">
        <f t="shared" ref="E52:E53" si="20">MIN(IF($H$8=4,$B$43,$C$43),D52*$F$43)*1000</f>
        <v>7307.534389</v>
      </c>
      <c r="F52" s="12">
        <f t="array" ref="F52">IF($A52="","",INDEX(Main!I:I,MATCH($A52,Main!$A:$A,0))/$I$3)</f>
        <v>0</v>
      </c>
      <c r="G52" s="12" t="str">
        <f t="shared" si="18"/>
        <v>Compute</v>
      </c>
      <c r="H52" s="12">
        <f>MAX(0,B52/E52-F56)</f>
        <v>0.001427954735</v>
      </c>
      <c r="I52" s="12">
        <f t="shared" si="19"/>
        <v>0</v>
      </c>
    </row>
    <row r="53">
      <c r="A53" s="4" t="str">
        <f>IF($A$49="Adjoint EFC",A27,A23)</f>
        <v>EFC with Precomputed Gain</v>
      </c>
      <c r="B53" s="12">
        <f t="array" ref="B53">IF($A53="","",INDEX(Main!D:D,MATCH($A53,Main!$A:$A,0)))</f>
        <v>26.41337152</v>
      </c>
      <c r="C53" s="12">
        <f t="array" ref="C53">IF($A53="","",INDEX(Main!H:H,MATCH($A53,Main!$A:$A,0)))</f>
        <v>0.1109522196</v>
      </c>
      <c r="D53" s="33">
        <f t="shared" si="17"/>
        <v>0.2380607761</v>
      </c>
      <c r="E53" s="9">
        <f t="shared" si="20"/>
        <v>6963.277701</v>
      </c>
      <c r="F53" s="12">
        <f t="array" ref="F53">IF($A53="","",INDEX(Main!I:I,MATCH($A53,Main!$A:$A,0))/$I$3)</f>
        <v>0.00006588416</v>
      </c>
      <c r="G53" s="12" t="str">
        <f t="shared" si="18"/>
        <v>Compute</v>
      </c>
      <c r="H53" s="12">
        <f>B53/E53</f>
        <v>0.003793238279</v>
      </c>
      <c r="I53" s="12">
        <f t="shared" si="19"/>
        <v>0</v>
      </c>
    </row>
    <row r="54">
      <c r="A54" s="4" t="str">
        <f>IF(A49="Realtime Gain",A26,"")</f>
        <v/>
      </c>
      <c r="B54" s="9" t="str">
        <f t="array" ref="B54">IF($A54="","",INDEX(Main!D:D,MATCH($A54,Main!$A:$A,0)))</f>
        <v/>
      </c>
      <c r="C54" s="12" t="str">
        <f t="array" ref="C54">IF($A54="","",INDEX(Main!H:H,MATCH($A54,Main!$A:$A,0)))</f>
        <v/>
      </c>
      <c r="D54" s="33" t="str">
        <f>IF($A54="","",B54*10^9/C54/10^12)</f>
        <v/>
      </c>
      <c r="E54" s="9" t="str">
        <f>IF($A54="","",MIN($B$43,D54*$F$43)*1000)</f>
        <v/>
      </c>
      <c r="F54" s="9" t="str">
        <f t="array" ref="F54">IF($A54="","",INDEX(Main!I:I,MATCH($A54,Main!$A:$A,0))/$I$3)</f>
        <v/>
      </c>
      <c r="G54" s="12" t="str">
        <f>IF($A54="","",IF($B$43&gt;D54*$F$43,"Memory","Compute"))</f>
        <v/>
      </c>
      <c r="H54" s="9" t="str">
        <f>IF($A54="","",B54/E54)</f>
        <v/>
      </c>
    </row>
    <row r="55">
      <c r="A55" s="3" t="str">
        <f>IF(E77=0,"","Broadcast/Gather")</f>
        <v>Broadcast/Gather</v>
      </c>
      <c r="B55" s="9"/>
      <c r="C55" s="9"/>
      <c r="D55" s="9"/>
      <c r="E55" s="9"/>
      <c r="F55" s="12">
        <f>G77+H77</f>
        <v>0.000776174</v>
      </c>
      <c r="G55" s="10" t="s">
        <v>120</v>
      </c>
      <c r="H55" s="12">
        <f>IF(E77&gt;0,F55,)</f>
        <v>0.000776174</v>
      </c>
    </row>
    <row r="56">
      <c r="A56" s="3" t="s">
        <v>121</v>
      </c>
      <c r="B56" s="10">
        <v>0.0</v>
      </c>
      <c r="C56" s="10">
        <v>0.0</v>
      </c>
      <c r="D56" s="10">
        <v>0.0</v>
      </c>
      <c r="E56" s="10">
        <v>0.0</v>
      </c>
      <c r="F56" s="12">
        <f>SUM(F51:F54)+2*J3</f>
        <v>0.00218904256</v>
      </c>
      <c r="G56" s="10" t="s">
        <v>122</v>
      </c>
      <c r="H56" s="12">
        <f>F56</f>
        <v>0.00218904256</v>
      </c>
    </row>
    <row r="58">
      <c r="A58" s="6" t="s">
        <v>123</v>
      </c>
      <c r="D58" s="7"/>
      <c r="E58" s="7"/>
      <c r="F58" s="7"/>
      <c r="G58" s="7"/>
    </row>
    <row r="59">
      <c r="A59" s="2" t="s">
        <v>124</v>
      </c>
      <c r="B59" s="2" t="s">
        <v>125</v>
      </c>
      <c r="C59" s="2" t="s">
        <v>113</v>
      </c>
    </row>
    <row r="60">
      <c r="A60" s="12">
        <f>SUM(H51:H56)</f>
        <v>0.008189984018</v>
      </c>
      <c r="B60" s="34">
        <f>1/A60</f>
        <v>122.1003604</v>
      </c>
      <c r="C60" s="12" t="str">
        <f t="array" ref="C60">INDEX(G51:G56, MATCH(MAX(H51:H56), H51:H56, 0))</f>
        <v>Compute</v>
      </c>
    </row>
    <row r="62">
      <c r="A62" s="6" t="s">
        <v>126</v>
      </c>
    </row>
    <row r="63">
      <c r="A63" s="2" t="s">
        <v>127</v>
      </c>
      <c r="B63" s="2" t="s">
        <v>42</v>
      </c>
      <c r="C63" s="2" t="s">
        <v>46</v>
      </c>
      <c r="D63" s="2" t="s">
        <v>110</v>
      </c>
      <c r="E63" s="2" t="s">
        <v>111</v>
      </c>
      <c r="F63" s="2" t="s">
        <v>112</v>
      </c>
      <c r="G63" s="2" t="s">
        <v>113</v>
      </c>
      <c r="H63" s="2" t="s">
        <v>114</v>
      </c>
      <c r="I63" s="2" t="s">
        <v>115</v>
      </c>
    </row>
    <row r="64">
      <c r="A64" s="3" t="s">
        <v>128</v>
      </c>
      <c r="B64" s="15">
        <f>G29</f>
        <v>0.5</v>
      </c>
      <c r="C64" s="12">
        <f>IFERROR(__xludf.DUMMYFUNCTION("H29*SQRT(VALUE(REGEXEXTRACT(A64, ""(\d+)\D*$"")))"),0.004)</f>
        <v>0.004</v>
      </c>
      <c r="D64" s="33">
        <f>B64*10^9/C64/10^12</f>
        <v>0.125</v>
      </c>
      <c r="E64" s="9">
        <f>MIN(IF($H$8=4,$B$43,$C$43),D64*$F$43)*1000</f>
        <v>3656.25</v>
      </c>
      <c r="F64" s="10">
        <v>0.0</v>
      </c>
      <c r="G64" s="12" t="str">
        <f>IF($B$43&gt;D64*$F$43,"Memory","Compute")</f>
        <v>Compute</v>
      </c>
      <c r="H64" s="12">
        <f>B64/E64</f>
        <v>0.0001367521368</v>
      </c>
      <c r="I64" s="12">
        <f>H64*$D$43</f>
        <v>0</v>
      </c>
    </row>
    <row r="66">
      <c r="A66" s="6" t="s">
        <v>129</v>
      </c>
      <c r="D66" s="7"/>
      <c r="E66" s="6" t="s">
        <v>130</v>
      </c>
    </row>
    <row r="67">
      <c r="A67" s="2" t="s">
        <v>131</v>
      </c>
      <c r="B67" s="2" t="s">
        <v>132</v>
      </c>
      <c r="C67" s="2" t="s">
        <v>42</v>
      </c>
      <c r="E67" s="2" t="s">
        <v>133</v>
      </c>
      <c r="F67" s="2" t="s">
        <v>134</v>
      </c>
      <c r="G67" s="2" t="s">
        <v>135</v>
      </c>
      <c r="H67" s="2" t="s">
        <v>3</v>
      </c>
      <c r="I67" s="2" t="s">
        <v>136</v>
      </c>
    </row>
    <row r="68">
      <c r="A68" s="3">
        <v>1.0</v>
      </c>
      <c r="B68" s="12">
        <f>A68*(C51+C52+C53)*A69</f>
        <v>0.2173942173</v>
      </c>
      <c r="C68" s="12">
        <f>A68*(B51+B52+B53)*A69</f>
        <v>53.00191727</v>
      </c>
      <c r="E68" s="10">
        <v>48.0</v>
      </c>
      <c r="F68" s="10">
        <v>9.0</v>
      </c>
      <c r="G68" s="9">
        <f>F68*H68*128/8/1024</f>
        <v>1.125</v>
      </c>
      <c r="H68" s="10">
        <v>8.0</v>
      </c>
      <c r="I68" s="9">
        <f>MAX(CEILING(J8/E68,1),CEILING(B68/G68,1))</f>
        <v>3</v>
      </c>
    </row>
    <row r="69">
      <c r="A69" s="14">
        <f>(1/A68)/(1/A68-H56-H55)</f>
        <v>1.002974035</v>
      </c>
      <c r="B69" s="3" t="s">
        <v>137</v>
      </c>
      <c r="E69" s="2" t="s">
        <v>138</v>
      </c>
      <c r="F69" s="2" t="s">
        <v>139</v>
      </c>
      <c r="G69" s="2" t="s">
        <v>140</v>
      </c>
      <c r="H69" s="2" t="s">
        <v>141</v>
      </c>
      <c r="I69" s="2" t="s">
        <v>142</v>
      </c>
    </row>
    <row r="70">
      <c r="E70" s="10">
        <v>0.0046</v>
      </c>
      <c r="F70" s="9">
        <f>15/8*H68*128</f>
        <v>1920</v>
      </c>
      <c r="G70" s="10">
        <v>121.0</v>
      </c>
      <c r="H70" s="9">
        <f>E70*F70</f>
        <v>8.832</v>
      </c>
      <c r="I70" s="9">
        <f>(G70+H70)*I68</f>
        <v>389.496</v>
      </c>
    </row>
    <row r="71">
      <c r="A71" s="6" t="s">
        <v>143</v>
      </c>
      <c r="E71" s="2" t="s">
        <v>144</v>
      </c>
      <c r="F71" s="2" t="s">
        <v>145</v>
      </c>
      <c r="G71" s="2" t="s">
        <v>146</v>
      </c>
      <c r="H71" s="2" t="s">
        <v>147</v>
      </c>
      <c r="I71" s="2" t="s">
        <v>148</v>
      </c>
    </row>
    <row r="72">
      <c r="A72" s="2" t="s">
        <v>149</v>
      </c>
      <c r="B72" s="2" t="s">
        <v>142</v>
      </c>
      <c r="C72" s="2" t="s">
        <v>150</v>
      </c>
      <c r="E72" s="10">
        <v>0.25</v>
      </c>
      <c r="F72" s="12">
        <f>E72*B68*8</f>
        <v>0.4347884347</v>
      </c>
      <c r="G72" s="9">
        <f>4.3*0.8</f>
        <v>3.44</v>
      </c>
      <c r="H72" s="12">
        <f>B68*G72*8</f>
        <v>5.982688861</v>
      </c>
      <c r="I72" s="12">
        <f>F72+H72</f>
        <v>6.417477296</v>
      </c>
    </row>
    <row r="73">
      <c r="A73" s="10">
        <v>38.1</v>
      </c>
      <c r="B73" s="9">
        <f>J8*1000*8/A73</f>
        <v>22184.45902</v>
      </c>
      <c r="C73" s="10">
        <v>256.0</v>
      </c>
    </row>
    <row r="74">
      <c r="A74" s="2" t="s">
        <v>151</v>
      </c>
      <c r="B74" s="2" t="s">
        <v>152</v>
      </c>
      <c r="C74" s="2" t="s">
        <v>153</v>
      </c>
    </row>
    <row r="75">
      <c r="A75" s="10" t="s">
        <v>154</v>
      </c>
      <c r="B75" s="10" t="s">
        <v>155</v>
      </c>
      <c r="C75" s="10">
        <v>3.0</v>
      </c>
      <c r="E75" s="6" t="s">
        <v>26</v>
      </c>
      <c r="J75" s="3"/>
    </row>
    <row r="76">
      <c r="A76" s="2" t="s">
        <v>156</v>
      </c>
      <c r="B76" s="2" t="s">
        <v>157</v>
      </c>
      <c r="C76" s="2" t="s">
        <v>158</v>
      </c>
      <c r="E76" s="2" t="s">
        <v>159</v>
      </c>
      <c r="F76" s="2" t="s">
        <v>160</v>
      </c>
      <c r="G76" s="2" t="s">
        <v>161</v>
      </c>
      <c r="H76" s="2" t="s">
        <v>162</v>
      </c>
      <c r="I76" s="2" t="s">
        <v>98</v>
      </c>
    </row>
    <row r="77">
      <c r="A77" s="9">
        <f>CEILING(J8*1024*8/C73,1)</f>
        <v>3381</v>
      </c>
      <c r="B77" s="9">
        <f>A77*32/1024^2</f>
        <v>0.1031799316</v>
      </c>
      <c r="C77" s="12">
        <f>B68*8*1024^2/B77/1000</f>
        <v>17674.31749</v>
      </c>
      <c r="E77" s="10">
        <f>IF(A43="HBM Solution",I68/4,IF(A43="SRAM Solution",B79,IF(A40&gt;1,A40,0)))</f>
        <v>56</v>
      </c>
      <c r="F77" s="9">
        <f>IF(E77=0,0,CEILING(LOG(E77,I14),1))</f>
        <v>6</v>
      </c>
      <c r="G77" s="15">
        <f>F77*C8*H8/(I12*10^9)</f>
        <v>0.00076974</v>
      </c>
      <c r="H77" s="12">
        <f>D8*H8/(I12*10^9)*IF(E77=0,0,1)</f>
        <v>0.000006434</v>
      </c>
      <c r="I77" s="12">
        <f>(C8*H8*8*J12*F77+D8*H8*8*I8*F77)*A68/10^12</f>
        <v>0.000630930432</v>
      </c>
    </row>
    <row r="78">
      <c r="A78" s="2" t="s">
        <v>163</v>
      </c>
      <c r="B78" s="2" t="s">
        <v>164</v>
      </c>
      <c r="C78" s="2" t="s">
        <v>165</v>
      </c>
      <c r="G78" s="2" t="s">
        <v>166</v>
      </c>
      <c r="H78" s="2" t="s">
        <v>167</v>
      </c>
    </row>
    <row r="79">
      <c r="A79" s="10">
        <v>400.0</v>
      </c>
      <c r="B79" s="9">
        <f>CEILING(B73/A79,1)</f>
        <v>56</v>
      </c>
      <c r="C79" s="9">
        <f>CEILING(A77/B79,1)</f>
        <v>61</v>
      </c>
      <c r="G79" s="3">
        <f>C8*H8*J12*F77/10^9*A68</f>
        <v>0.064042368</v>
      </c>
      <c r="H79" s="4">
        <f>D8*H8*I8*F77/10^9*A68</f>
        <v>0.014823936</v>
      </c>
    </row>
    <row r="81">
      <c r="A81" s="6" t="s">
        <v>168</v>
      </c>
      <c r="E81" s="6" t="s">
        <v>169</v>
      </c>
    </row>
    <row r="82">
      <c r="A82" s="2" t="s">
        <v>170</v>
      </c>
      <c r="B82" s="2" t="s">
        <v>171</v>
      </c>
      <c r="C82" s="2" t="s">
        <v>172</v>
      </c>
      <c r="E82" s="2" t="s">
        <v>173</v>
      </c>
      <c r="F82" s="2" t="s">
        <v>174</v>
      </c>
      <c r="G82" s="29" t="s">
        <v>175</v>
      </c>
      <c r="H82" s="2" t="s">
        <v>176</v>
      </c>
      <c r="I82" s="2" t="s">
        <v>177</v>
      </c>
    </row>
    <row r="83">
      <c r="A83" s="10">
        <v>90.1</v>
      </c>
      <c r="B83" s="9">
        <f>(0.75/0.6)^2*A83</f>
        <v>140.78125</v>
      </c>
      <c r="C83" s="12">
        <f>B83*B68*1024^4*8/10^15</f>
        <v>0.2692046878</v>
      </c>
      <c r="E83" s="3" t="s">
        <v>178</v>
      </c>
      <c r="F83" s="35" t="str">
        <f t="array" ref="F83">IF($E$83="","",INDEX('MAC Specs'!B:B,MATCH($E$83,'MAC Specs'!$A:$A,0)))</f>
        <v>ASAP 7nm</v>
      </c>
      <c r="G83" s="33">
        <f t="array" ref="G83">IF($E$83="","",INDEX('MAC Specs'!C:C,MATCH($E$83,'MAC Specs'!$A:$A,0)))</f>
        <v>0.5</v>
      </c>
      <c r="H83" s="33">
        <f t="array" ref="H83">IF($E$83="","",INDEX('MAC Specs'!D:D,MATCH($E$83,'MAC Specs'!$A:$A,0)))</f>
        <v>1450.9</v>
      </c>
      <c r="I83" s="33">
        <f t="array" ref="I83">IF($E$83="","",INDEX('MAC Specs'!E:E,MATCH($E$83,'MAC Specs'!$A:$A,0)))</f>
        <v>1.4038</v>
      </c>
    </row>
    <row r="84">
      <c r="A84" s="2" t="s">
        <v>179</v>
      </c>
      <c r="B84" s="2" t="s">
        <v>180</v>
      </c>
      <c r="C84" s="2" t="s">
        <v>181</v>
      </c>
      <c r="E84" s="2" t="s">
        <v>182</v>
      </c>
      <c r="F84" s="2" t="s">
        <v>142</v>
      </c>
      <c r="G84" s="2" t="s">
        <v>148</v>
      </c>
      <c r="H84" s="2" t="s">
        <v>183</v>
      </c>
      <c r="I84" s="2" t="s">
        <v>184</v>
      </c>
    </row>
    <row r="85">
      <c r="A85" s="10">
        <v>12.0</v>
      </c>
      <c r="B85" s="9">
        <f>(0.75/0.6)^2*A85</f>
        <v>18.75</v>
      </c>
      <c r="C85" s="12">
        <f>J8*1024^3*8*A85/10^12</f>
        <v>10.89067842</v>
      </c>
      <c r="E85" s="33">
        <f>C68/G83/2</f>
        <v>53.00191727</v>
      </c>
      <c r="F85" s="9">
        <f>E85*H83/1000/1000</f>
        <v>0.07690048177</v>
      </c>
      <c r="G85" s="9">
        <f>E85*I83/1000</f>
        <v>0.07440409147</v>
      </c>
      <c r="H85" s="33">
        <f>CEILING(E85/B79,1)</f>
        <v>1</v>
      </c>
      <c r="I85" s="9">
        <f>2*E85*500*10^6/10^12</f>
        <v>0.05300191727</v>
      </c>
    </row>
    <row r="87">
      <c r="A87" s="6" t="s">
        <v>185</v>
      </c>
      <c r="E87" s="6" t="s">
        <v>186</v>
      </c>
    </row>
    <row r="88">
      <c r="A88" s="36" t="s">
        <v>187</v>
      </c>
      <c r="E88" s="2" t="s">
        <v>188</v>
      </c>
      <c r="F88" s="2" t="s">
        <v>189</v>
      </c>
      <c r="G88" s="3"/>
    </row>
    <row r="89">
      <c r="E89" s="33">
        <f>B8*C3*4*4/1024^2</f>
        <v>3.915100098</v>
      </c>
      <c r="F89" s="9">
        <f>B8*C3*F8*A68*33/1024^3</f>
        <v>0.2759973519</v>
      </c>
    </row>
    <row r="91">
      <c r="A91" s="6" t="s">
        <v>190</v>
      </c>
      <c r="E91" s="6" t="s">
        <v>191</v>
      </c>
    </row>
    <row r="92">
      <c r="A92" s="37" t="s">
        <v>192</v>
      </c>
      <c r="B92" s="38">
        <f>C83+C85</f>
        <v>11.15988311</v>
      </c>
      <c r="E92" s="2" t="s">
        <v>193</v>
      </c>
      <c r="F92" s="2" t="s">
        <v>134</v>
      </c>
      <c r="G92" s="2" t="s">
        <v>194</v>
      </c>
      <c r="H92" s="2" t="s">
        <v>195</v>
      </c>
      <c r="I92" s="2" t="s">
        <v>196</v>
      </c>
    </row>
    <row r="93">
      <c r="A93" s="37" t="s">
        <v>197</v>
      </c>
      <c r="B93" s="39">
        <f>I72</f>
        <v>6.417477296</v>
      </c>
      <c r="E93" s="3" t="s">
        <v>109</v>
      </c>
      <c r="F93" s="3">
        <v>2.2</v>
      </c>
      <c r="G93" s="3">
        <v>16.0</v>
      </c>
      <c r="H93" s="4">
        <f>1*G93*F93</f>
        <v>35.2</v>
      </c>
      <c r="I93" s="3">
        <v>8.0</v>
      </c>
    </row>
    <row r="94">
      <c r="A94" s="40" t="s">
        <v>26</v>
      </c>
      <c r="B94" s="41">
        <f>I77</f>
        <v>0.000630930432</v>
      </c>
      <c r="E94" s="2" t="s">
        <v>98</v>
      </c>
      <c r="F94" s="2" t="s">
        <v>198</v>
      </c>
      <c r="G94" s="2" t="s">
        <v>199</v>
      </c>
    </row>
    <row r="95">
      <c r="A95" s="40" t="s">
        <v>200</v>
      </c>
      <c r="B95" s="38">
        <f>G85</f>
        <v>0.07440409147</v>
      </c>
      <c r="E95" s="3">
        <v>25.0</v>
      </c>
      <c r="F95" s="4">
        <f>CEILING(F89/H93,1)</f>
        <v>1</v>
      </c>
    </row>
    <row r="96">
      <c r="A96" s="40" t="s">
        <v>201</v>
      </c>
      <c r="B96" s="38">
        <f>F95*E95</f>
        <v>25</v>
      </c>
    </row>
    <row r="97">
      <c r="E97" s="6" t="s">
        <v>202</v>
      </c>
    </row>
    <row r="98">
      <c r="E98" s="2" t="s">
        <v>203</v>
      </c>
      <c r="F98" s="2" t="s">
        <v>142</v>
      </c>
      <c r="G98" s="2" t="s">
        <v>204</v>
      </c>
      <c r="H98" s="2" t="s">
        <v>205</v>
      </c>
      <c r="I98" s="2" t="s">
        <v>206</v>
      </c>
    </row>
    <row r="99">
      <c r="A99" s="6" t="s">
        <v>103</v>
      </c>
      <c r="B99" s="6" t="s">
        <v>98</v>
      </c>
      <c r="C99" s="6" t="s">
        <v>199</v>
      </c>
      <c r="E99" s="33">
        <f>1000000/0.0249/1024/1024</f>
        <v>38.30017335</v>
      </c>
      <c r="F99" s="9">
        <f>J8*1000*8/E99</f>
        <v>22068.5134</v>
      </c>
      <c r="G99" s="10">
        <v>200.0</v>
      </c>
      <c r="H99" s="10">
        <v>128.0</v>
      </c>
      <c r="I99" s="9">
        <f>I101*H101/1024</f>
        <v>82.54375</v>
      </c>
    </row>
    <row r="100">
      <c r="A100" s="42">
        <f>B95+B96+B92</f>
        <v>36.2342872</v>
      </c>
      <c r="E100" s="2" t="s">
        <v>207</v>
      </c>
      <c r="F100" s="2" t="s">
        <v>208</v>
      </c>
      <c r="G100" s="2" t="s">
        <v>150</v>
      </c>
      <c r="H100" s="2" t="s">
        <v>209</v>
      </c>
      <c r="I100" s="2" t="s">
        <v>156</v>
      </c>
    </row>
    <row r="101">
      <c r="A101" s="37" t="s">
        <v>192</v>
      </c>
      <c r="B101" s="33">
        <f>B92</f>
        <v>11.15988311</v>
      </c>
      <c r="C101" s="9">
        <f>B73</f>
        <v>22184.45902</v>
      </c>
      <c r="E101" s="3" t="s">
        <v>210</v>
      </c>
      <c r="F101" s="10">
        <v>0.6</v>
      </c>
      <c r="G101" s="10">
        <v>32.0</v>
      </c>
      <c r="H101" s="10">
        <v>3.2</v>
      </c>
      <c r="I101" s="9">
        <f>CEILING(J8*1000*8/G101,1)</f>
        <v>26414</v>
      </c>
    </row>
    <row r="102">
      <c r="A102" s="40" t="s">
        <v>26</v>
      </c>
      <c r="B102" s="12">
        <f t="shared" ref="B102:B104" si="21">B94</f>
        <v>0.000630930432</v>
      </c>
      <c r="C102" s="9">
        <f>J14*E77</f>
        <v>72.8</v>
      </c>
      <c r="E102" s="3" t="s">
        <v>207</v>
      </c>
    </row>
    <row r="103">
      <c r="A103" s="40" t="s">
        <v>200</v>
      </c>
      <c r="B103" s="33">
        <f t="shared" si="21"/>
        <v>0.07440409147</v>
      </c>
      <c r="C103" s="9">
        <f>F85</f>
        <v>0.07690048177</v>
      </c>
    </row>
    <row r="104">
      <c r="A104" s="40" t="s">
        <v>201</v>
      </c>
      <c r="B104" s="33">
        <f t="shared" si="21"/>
        <v>25</v>
      </c>
      <c r="C104" s="10">
        <v>1600.0</v>
      </c>
      <c r="E104" s="6" t="s">
        <v>211</v>
      </c>
    </row>
    <row r="105">
      <c r="A105" s="2" t="s">
        <v>212</v>
      </c>
      <c r="B105" s="33">
        <f>SUM(B101:B104)</f>
        <v>36.23491813</v>
      </c>
      <c r="C105" s="9">
        <f>SUM(C100:C104)</f>
        <v>23857.33592</v>
      </c>
      <c r="E105" s="2" t="s">
        <v>213</v>
      </c>
      <c r="F105" s="2" t="s">
        <v>214</v>
      </c>
      <c r="G105" s="2" t="s">
        <v>215</v>
      </c>
      <c r="H105" s="2" t="s">
        <v>216</v>
      </c>
      <c r="I105" s="2" t="s">
        <v>217</v>
      </c>
    </row>
    <row r="106">
      <c r="A106" s="6" t="s">
        <v>218</v>
      </c>
      <c r="B106" s="6" t="s">
        <v>98</v>
      </c>
      <c r="C106" s="6" t="s">
        <v>199</v>
      </c>
      <c r="E106" s="10">
        <f>1.1/2</f>
        <v>0.55</v>
      </c>
      <c r="F106" s="10">
        <v>0.86</v>
      </c>
      <c r="G106" s="10">
        <v>3.0</v>
      </c>
      <c r="H106" s="9">
        <f>48*2</f>
        <v>96</v>
      </c>
      <c r="I106" s="33">
        <f>G106/F106</f>
        <v>3.488372093</v>
      </c>
    </row>
    <row r="107">
      <c r="A107" s="42">
        <f>B95+B96+B93</f>
        <v>31.49188139</v>
      </c>
      <c r="E107" s="2" t="s">
        <v>207</v>
      </c>
      <c r="F107" s="2" t="s">
        <v>219</v>
      </c>
      <c r="G107" s="2" t="s">
        <v>209</v>
      </c>
      <c r="H107" s="2" t="s">
        <v>142</v>
      </c>
      <c r="I107" s="2" t="s">
        <v>172</v>
      </c>
    </row>
    <row r="108">
      <c r="A108" s="37" t="s">
        <v>197</v>
      </c>
      <c r="B108" s="12">
        <f>H72</f>
        <v>5.982688861</v>
      </c>
      <c r="C108" s="9">
        <f>I68*(G70)</f>
        <v>363</v>
      </c>
      <c r="E108" s="3" t="s">
        <v>220</v>
      </c>
      <c r="F108" s="3">
        <v>12.0</v>
      </c>
      <c r="G108" s="4">
        <f>1/12*H106/8</f>
        <v>1</v>
      </c>
      <c r="H108" s="43">
        <f>J8*8*1024/I106/2</f>
        <v>124056.9146</v>
      </c>
      <c r="I108" s="14">
        <f>E106*B68*8*1024^4/10^12</f>
        <v>1.051720867</v>
      </c>
    </row>
    <row r="109">
      <c r="A109" s="37" t="s">
        <v>221</v>
      </c>
      <c r="B109" s="12">
        <f>F72</f>
        <v>0.4347884347</v>
      </c>
      <c r="C109" s="9">
        <f>I68*(H70)</f>
        <v>26.496</v>
      </c>
    </row>
    <row r="110">
      <c r="A110" s="40" t="s">
        <v>26</v>
      </c>
      <c r="B110" s="12">
        <f t="shared" ref="B110:B112" si="22">B94</f>
        <v>0.000630930432</v>
      </c>
      <c r="C110" s="9">
        <f>E77*J14</f>
        <v>72.8</v>
      </c>
      <c r="E110" s="6" t="s">
        <v>222</v>
      </c>
    </row>
    <row r="111">
      <c r="A111" s="40" t="s">
        <v>200</v>
      </c>
      <c r="B111" s="33">
        <f t="shared" si="22"/>
        <v>0.07440409147</v>
      </c>
      <c r="C111" s="9">
        <f>F85</f>
        <v>0.07690048177</v>
      </c>
      <c r="E111" s="2" t="s">
        <v>213</v>
      </c>
      <c r="F111" s="3" t="s">
        <v>223</v>
      </c>
      <c r="G111" s="3" t="s">
        <v>224</v>
      </c>
    </row>
    <row r="112">
      <c r="A112" s="40" t="s">
        <v>201</v>
      </c>
      <c r="B112" s="33">
        <f t="shared" si="22"/>
        <v>25</v>
      </c>
      <c r="C112" s="10">
        <v>1600.0</v>
      </c>
    </row>
    <row r="113">
      <c r="A113" s="2" t="s">
        <v>212</v>
      </c>
      <c r="B113" s="9">
        <f t="shared" ref="B113:C113" si="23">SUM(B107:B112)</f>
        <v>31.49251232</v>
      </c>
      <c r="C113" s="9">
        <f t="shared" si="23"/>
        <v>2062.3729</v>
      </c>
    </row>
    <row r="117">
      <c r="A117" s="6" t="s">
        <v>225</v>
      </c>
    </row>
    <row r="118">
      <c r="A118" s="44" t="s">
        <v>103</v>
      </c>
      <c r="B118" s="44" t="s">
        <v>98</v>
      </c>
      <c r="C118" s="2" t="s">
        <v>226</v>
      </c>
    </row>
    <row r="119">
      <c r="B119" s="42">
        <v>36.23491812787762</v>
      </c>
      <c r="C119" s="3">
        <v>1.0</v>
      </c>
    </row>
    <row r="120">
      <c r="B120" s="4">
        <v>91.3554399855512</v>
      </c>
      <c r="C120" s="3">
        <v>10.0</v>
      </c>
    </row>
    <row r="121">
      <c r="B121" s="42">
        <v>47.19084274862119</v>
      </c>
      <c r="C121" s="3">
        <v>30.0</v>
      </c>
    </row>
    <row r="122">
      <c r="B122" s="42">
        <v>56.03342307041768</v>
      </c>
      <c r="C122" s="3">
        <v>50.0</v>
      </c>
      <c r="E122" s="6" t="s">
        <v>227</v>
      </c>
    </row>
    <row r="123">
      <c r="B123" s="42">
        <v>84.65319594215234</v>
      </c>
      <c r="C123" s="3">
        <v>100.0</v>
      </c>
      <c r="E123" s="2" t="s">
        <v>228</v>
      </c>
      <c r="F123" s="2" t="s">
        <v>229</v>
      </c>
      <c r="G123" s="2" t="s">
        <v>230</v>
      </c>
      <c r="H123" s="2" t="s">
        <v>150</v>
      </c>
      <c r="I123" s="2" t="s">
        <v>217</v>
      </c>
    </row>
    <row r="124">
      <c r="B124" s="42">
        <v>153.5409097112069</v>
      </c>
      <c r="C124" s="3">
        <v>150.0</v>
      </c>
      <c r="E124" s="3">
        <v>24.9</v>
      </c>
      <c r="F124" s="45">
        <v>9.0</v>
      </c>
      <c r="G124" s="3">
        <v>192.0</v>
      </c>
      <c r="H124" s="3">
        <v>4.0</v>
      </c>
      <c r="I124" s="42">
        <f>H124/F124</f>
        <v>0.4444444444</v>
      </c>
    </row>
    <row r="125">
      <c r="B125" s="42">
        <v>229.3836293113198</v>
      </c>
      <c r="C125" s="3">
        <v>200.0</v>
      </c>
      <c r="F125" s="3" t="s">
        <v>231</v>
      </c>
    </row>
    <row r="126">
      <c r="B126" s="42">
        <v>1016.7354714843786</v>
      </c>
      <c r="C126" s="3">
        <v>300.0</v>
      </c>
    </row>
    <row r="127">
      <c r="B127" s="42">
        <v>1400.7570039048107</v>
      </c>
      <c r="C127" s="3">
        <v>310.0</v>
      </c>
      <c r="E127" s="3" t="s">
        <v>232</v>
      </c>
    </row>
    <row r="128">
      <c r="B128" s="42">
        <v>5349.7105589805615</v>
      </c>
      <c r="C128" s="3">
        <v>330.0</v>
      </c>
    </row>
    <row r="129">
      <c r="B129" s="42">
        <v>17338.02828211095</v>
      </c>
      <c r="C129" s="3">
        <v>335.0</v>
      </c>
    </row>
    <row r="130">
      <c r="B130" s="42"/>
    </row>
    <row r="131">
      <c r="B131" s="46"/>
    </row>
    <row r="134">
      <c r="A134" s="44" t="s">
        <v>218</v>
      </c>
      <c r="B134" s="44" t="s">
        <v>98</v>
      </c>
      <c r="C134" s="2" t="s">
        <v>226</v>
      </c>
    </row>
    <row r="135">
      <c r="B135" s="4">
        <v>31.486873331774145</v>
      </c>
      <c r="C135" s="3">
        <v>1.0</v>
      </c>
    </row>
    <row r="136">
      <c r="B136" s="4">
        <v>91.17926580254031</v>
      </c>
      <c r="C136" s="3">
        <v>10.0</v>
      </c>
    </row>
    <row r="137">
      <c r="B137" s="4">
        <v>233.73330560005007</v>
      </c>
      <c r="C137" s="3">
        <v>30.0</v>
      </c>
    </row>
    <row r="138">
      <c r="B138" s="4">
        <v>393.8646536321486</v>
      </c>
      <c r="C138" s="3">
        <v>50.0</v>
      </c>
    </row>
    <row r="139">
      <c r="B139" s="4">
        <v>897.3946030670747</v>
      </c>
      <c r="C139" s="3">
        <v>100.0</v>
      </c>
    </row>
    <row r="140">
      <c r="B140" s="4">
        <v>1685.379495140404</v>
      </c>
      <c r="C140" s="3">
        <v>150.0</v>
      </c>
    </row>
    <row r="141">
      <c r="B141" s="4">
        <v>3042.4360827849973</v>
      </c>
      <c r="C141" s="3">
        <v>200.0</v>
      </c>
    </row>
    <row r="142">
      <c r="B142" s="4">
        <v>6305.216813787871</v>
      </c>
      <c r="C142" s="3">
        <v>250.0</v>
      </c>
    </row>
    <row r="143">
      <c r="B143" s="4">
        <v>10682.641960764417</v>
      </c>
      <c r="C143" s="3">
        <v>270.0</v>
      </c>
    </row>
    <row r="150">
      <c r="A150" s="44" t="s">
        <v>233</v>
      </c>
      <c r="B150" s="44" t="s">
        <v>98</v>
      </c>
      <c r="C150" s="2" t="s">
        <v>226</v>
      </c>
    </row>
    <row r="151">
      <c r="B151" s="3">
        <v>1000.0</v>
      </c>
      <c r="C151" s="47">
        <v>35.52038760396877</v>
      </c>
    </row>
    <row r="152">
      <c r="B152" s="3">
        <v>2000.0</v>
      </c>
      <c r="C152" s="47">
        <v>70.36729702783117</v>
      </c>
    </row>
    <row r="153">
      <c r="B153" s="3">
        <v>4000.0</v>
      </c>
      <c r="C153" s="47">
        <v>136.9799485220473</v>
      </c>
    </row>
    <row r="154">
      <c r="B154" s="3">
        <v>8000.0</v>
      </c>
      <c r="C154" s="47">
        <v>228.23117896212523</v>
      </c>
    </row>
    <row r="155">
      <c r="B155" s="3">
        <v>16000.0</v>
      </c>
      <c r="C155" s="47">
        <v>277.0678353487562</v>
      </c>
    </row>
  </sheetData>
  <mergeCells count="30">
    <mergeCell ref="A1:J1"/>
    <mergeCell ref="A6:D6"/>
    <mergeCell ref="E6:K6"/>
    <mergeCell ref="L6:P6"/>
    <mergeCell ref="A10:H10"/>
    <mergeCell ref="I10:J10"/>
    <mergeCell ref="A11:D11"/>
    <mergeCell ref="A17:J17"/>
    <mergeCell ref="A41:I41"/>
    <mergeCell ref="L45:S45"/>
    <mergeCell ref="V45:AC45"/>
    <mergeCell ref="B49:I49"/>
    <mergeCell ref="A58:C58"/>
    <mergeCell ref="A62:I62"/>
    <mergeCell ref="A66:C66"/>
    <mergeCell ref="E66:I66"/>
    <mergeCell ref="A71:C71"/>
    <mergeCell ref="E75:I75"/>
    <mergeCell ref="A81:C81"/>
    <mergeCell ref="E81:I81"/>
    <mergeCell ref="E87:I87"/>
    <mergeCell ref="A117:C117"/>
    <mergeCell ref="E122:I122"/>
    <mergeCell ref="A87:C87"/>
    <mergeCell ref="A88:C89"/>
    <mergeCell ref="A91:C91"/>
    <mergeCell ref="E91:I91"/>
    <mergeCell ref="E97:I97"/>
    <mergeCell ref="E104:I104"/>
    <mergeCell ref="E110:I110"/>
  </mergeCells>
  <conditionalFormatting sqref="E43:E44 E46">
    <cfRule type="cellIs" dxfId="0" priority="1" operator="lessThan">
      <formula>$J$8</formula>
    </cfRule>
  </conditionalFormatting>
  <dataValidations>
    <dataValidation type="list" allowBlank="1" showErrorMessage="1" sqref="K46 U46 A50">
      <formula1>"Dither,Pairwise Probing"</formula1>
    </dataValidation>
    <dataValidation type="list" allowBlank="1" showErrorMessage="1" sqref="K45 U45 A49">
      <formula1>"Precomputed Gain,Realtime Gain,Adjoint EFC"</formula1>
    </dataValidation>
    <dataValidation type="list" allowBlank="1" showErrorMessage="1" sqref="A43:A44 A46">
      <formula1>'Compute Specs'!$A$2:$A$1000</formula1>
    </dataValidation>
    <dataValidation type="decimal" operator="greaterThan" allowBlank="1" showDropDown="1" sqref="A40">
      <formula1>0.0</formula1>
    </dataValidation>
    <dataValidation type="list" allowBlank="1" showErrorMessage="1" sqref="E83">
      <formula1>'MAC Specs'!$A$2:$A$31</formula1>
    </dataValidation>
    <dataValidation type="list" allowBlank="1" showErrorMessage="1" sqref="A3">
      <formula1>'System Specs'!$A$2:$A1000</formula1>
    </dataValidation>
    <dataValidation type="list" allowBlank="1" showErrorMessage="1" sqref="A64">
      <formula1>"Resnet18 B1,Resnet18 B8,Resnet18 B32,Resnet18 B64"</formula1>
    </dataValidation>
    <dataValidation type="list" allowBlank="1" showErrorMessage="1" sqref="H8">
      <formula1>"4,8"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88"/>
    <col customWidth="1" min="5" max="5" width="16.5"/>
    <col customWidth="1" min="7" max="7" width="34.63"/>
    <col customWidth="1" min="9" max="9" width="18.63"/>
    <col customWidth="1" min="10" max="10" width="100.88"/>
    <col customWidth="1" min="11" max="11" width="27.75"/>
  </cols>
  <sheetData>
    <row r="1">
      <c r="A1" s="2" t="s">
        <v>234</v>
      </c>
      <c r="B1" s="2" t="s">
        <v>96</v>
      </c>
      <c r="C1" s="29" t="s">
        <v>97</v>
      </c>
      <c r="D1" s="2" t="s">
        <v>98</v>
      </c>
      <c r="E1" s="2" t="s">
        <v>99</v>
      </c>
      <c r="F1" s="2" t="s">
        <v>235</v>
      </c>
      <c r="G1" s="2" t="s">
        <v>101</v>
      </c>
      <c r="H1" s="2" t="s">
        <v>102</v>
      </c>
      <c r="I1" s="2" t="s">
        <v>236</v>
      </c>
      <c r="J1" s="2" t="s">
        <v>48</v>
      </c>
      <c r="K1" s="2" t="s">
        <v>237</v>
      </c>
    </row>
    <row r="2">
      <c r="A2" s="3" t="s">
        <v>238</v>
      </c>
      <c r="B2" s="10">
        <v>0.0037</v>
      </c>
      <c r="C2" s="10">
        <v>0.0037</v>
      </c>
      <c r="D2" s="10">
        <v>35.0</v>
      </c>
      <c r="E2" s="10">
        <v>4.0</v>
      </c>
      <c r="F2" s="10">
        <v>0.006375</v>
      </c>
      <c r="G2" s="3" t="s">
        <v>239</v>
      </c>
      <c r="H2" s="48">
        <v>31.75</v>
      </c>
      <c r="I2" s="49" t="s">
        <v>240</v>
      </c>
      <c r="J2" s="50" t="s">
        <v>241</v>
      </c>
      <c r="K2" s="3">
        <v>0.0156</v>
      </c>
    </row>
    <row r="3">
      <c r="A3" s="3" t="s">
        <v>242</v>
      </c>
      <c r="B3" s="10">
        <v>0.0037</v>
      </c>
      <c r="C3" s="10">
        <v>0.0037</v>
      </c>
      <c r="D3" s="10">
        <v>35.0</v>
      </c>
      <c r="E3" s="10">
        <v>4.0</v>
      </c>
      <c r="F3" s="10">
        <v>6.375E-4</v>
      </c>
      <c r="G3" s="3" t="s">
        <v>239</v>
      </c>
      <c r="H3" s="48">
        <v>31.75</v>
      </c>
      <c r="I3" s="49" t="s">
        <v>240</v>
      </c>
      <c r="J3" s="50" t="s">
        <v>243</v>
      </c>
    </row>
    <row r="4">
      <c r="A4" s="3" t="s">
        <v>244</v>
      </c>
      <c r="B4" s="3">
        <v>7.6</v>
      </c>
      <c r="C4" s="51">
        <v>0.0</v>
      </c>
      <c r="D4" s="3">
        <v>78.0</v>
      </c>
      <c r="E4" s="3">
        <v>36.0</v>
      </c>
      <c r="F4" s="3">
        <v>0.26</v>
      </c>
      <c r="G4" s="3" t="s">
        <v>245</v>
      </c>
      <c r="H4" s="3">
        <v>1.62</v>
      </c>
      <c r="I4" s="49" t="s">
        <v>246</v>
      </c>
      <c r="J4" s="50" t="s">
        <v>247</v>
      </c>
    </row>
    <row r="5">
      <c r="A5" s="3" t="s">
        <v>248</v>
      </c>
      <c r="B5" s="10">
        <v>67.0</v>
      </c>
      <c r="C5" s="10">
        <v>67.0</v>
      </c>
      <c r="D5" s="10">
        <v>700.0</v>
      </c>
      <c r="E5" s="10">
        <v>80.0</v>
      </c>
      <c r="F5" s="10">
        <v>3.35</v>
      </c>
      <c r="G5" s="10" t="s">
        <v>249</v>
      </c>
      <c r="H5" s="48">
        <v>2.0</v>
      </c>
      <c r="I5" s="49" t="s">
        <v>250</v>
      </c>
      <c r="J5" s="50" t="s">
        <v>251</v>
      </c>
      <c r="K5" s="3">
        <v>52.9673</v>
      </c>
      <c r="L5" s="47">
        <v>402.3078740314413</v>
      </c>
    </row>
    <row r="6">
      <c r="A6" s="3" t="s">
        <v>252</v>
      </c>
      <c r="B6" s="10">
        <v>60.0</v>
      </c>
      <c r="C6" s="10">
        <v>60.0</v>
      </c>
      <c r="D6" s="10">
        <v>400.0</v>
      </c>
      <c r="E6" s="10">
        <v>94.0</v>
      </c>
      <c r="F6" s="10">
        <v>3.9</v>
      </c>
      <c r="G6" s="10" t="s">
        <v>253</v>
      </c>
      <c r="H6" s="3">
        <v>2.0</v>
      </c>
      <c r="I6" s="49" t="s">
        <v>254</v>
      </c>
      <c r="J6" s="3" t="s">
        <v>255</v>
      </c>
    </row>
    <row r="7">
      <c r="A7" s="3" t="s">
        <v>256</v>
      </c>
      <c r="B7" s="10">
        <v>67.0</v>
      </c>
      <c r="C7" s="10">
        <v>67.0</v>
      </c>
      <c r="D7" s="10">
        <v>700.0</v>
      </c>
      <c r="E7" s="10">
        <v>141.0</v>
      </c>
      <c r="F7" s="10">
        <v>4.8</v>
      </c>
      <c r="G7" s="10" t="s">
        <v>249</v>
      </c>
      <c r="H7" s="10">
        <v>2.0</v>
      </c>
      <c r="I7" s="49" t="s">
        <v>257</v>
      </c>
      <c r="J7" s="3" t="s">
        <v>258</v>
      </c>
      <c r="K7" s="52">
        <v>72.1018</v>
      </c>
      <c r="L7" s="47">
        <v>403.57005463628525</v>
      </c>
    </row>
    <row r="8">
      <c r="A8" s="3" t="s">
        <v>259</v>
      </c>
      <c r="B8" s="10">
        <v>60.0</v>
      </c>
      <c r="C8" s="10">
        <v>60.0</v>
      </c>
      <c r="D8" s="10">
        <v>600.0</v>
      </c>
      <c r="E8" s="10">
        <v>141.0</v>
      </c>
      <c r="F8" s="10">
        <v>4.8</v>
      </c>
      <c r="G8" s="10" t="s">
        <v>249</v>
      </c>
      <c r="H8" s="10">
        <v>2.0</v>
      </c>
      <c r="I8" s="49" t="s">
        <v>257</v>
      </c>
      <c r="J8" s="3" t="s">
        <v>260</v>
      </c>
    </row>
    <row r="9">
      <c r="A9" s="3" t="s">
        <v>261</v>
      </c>
      <c r="B9" s="10">
        <v>75.0</v>
      </c>
      <c r="C9" s="10">
        <v>37.0</v>
      </c>
      <c r="D9" s="10">
        <v>1000.0</v>
      </c>
      <c r="E9" s="10">
        <v>180.0</v>
      </c>
      <c r="F9" s="10">
        <v>7.7</v>
      </c>
      <c r="G9" s="10" t="s">
        <v>262</v>
      </c>
      <c r="H9" s="48">
        <v>2.0</v>
      </c>
      <c r="I9" s="49" t="s">
        <v>263</v>
      </c>
      <c r="J9" s="50" t="s">
        <v>264</v>
      </c>
      <c r="K9" s="3">
        <v>105.1559</v>
      </c>
    </row>
    <row r="10">
      <c r="A10" s="3" t="s">
        <v>265</v>
      </c>
      <c r="B10" s="10">
        <v>75.0</v>
      </c>
      <c r="C10" s="10">
        <v>1.2</v>
      </c>
      <c r="D10" s="10">
        <v>1400.0</v>
      </c>
      <c r="E10" s="10">
        <v>279.0</v>
      </c>
      <c r="F10" s="10">
        <v>8.0</v>
      </c>
    </row>
    <row r="11">
      <c r="A11" s="3" t="s">
        <v>266</v>
      </c>
      <c r="B11" s="53">
        <v>163.4</v>
      </c>
      <c r="C11" s="53">
        <v>163.4</v>
      </c>
      <c r="D11" s="10">
        <v>750.0</v>
      </c>
      <c r="E11" s="10">
        <v>192.0</v>
      </c>
      <c r="F11" s="10">
        <v>5.3</v>
      </c>
      <c r="G11" s="10" t="s">
        <v>267</v>
      </c>
      <c r="H11" s="48">
        <v>6.0</v>
      </c>
      <c r="I11" s="49" t="s">
        <v>268</v>
      </c>
      <c r="J11" s="50" t="s">
        <v>269</v>
      </c>
    </row>
    <row r="12">
      <c r="A12" s="3" t="s">
        <v>270</v>
      </c>
      <c r="B12" s="54">
        <v>78.6</v>
      </c>
      <c r="C12" s="54">
        <v>157.3</v>
      </c>
      <c r="D12" s="10">
        <v>1400.0</v>
      </c>
      <c r="E12" s="10">
        <v>288.0</v>
      </c>
      <c r="F12" s="10">
        <v>8.0</v>
      </c>
      <c r="G12" s="10" t="s">
        <v>271</v>
      </c>
      <c r="H12" s="3">
        <v>2.0</v>
      </c>
      <c r="I12" s="49" t="s">
        <v>272</v>
      </c>
      <c r="J12" s="50" t="s">
        <v>273</v>
      </c>
    </row>
    <row r="13">
      <c r="A13" s="3" t="s">
        <v>274</v>
      </c>
      <c r="B13" s="55">
        <v>1300.0</v>
      </c>
      <c r="C13" s="55">
        <v>1300.0</v>
      </c>
      <c r="D13" s="10">
        <v>8000.0</v>
      </c>
      <c r="E13" s="10">
        <v>2048.0</v>
      </c>
      <c r="F13" s="10">
        <v>6.0</v>
      </c>
      <c r="G13" s="56" t="s">
        <v>245</v>
      </c>
      <c r="H13" s="48">
        <v>75.3</v>
      </c>
      <c r="I13" s="49" t="s">
        <v>275</v>
      </c>
      <c r="J13" s="50" t="s">
        <v>276</v>
      </c>
    </row>
    <row r="14">
      <c r="A14" s="3" t="s">
        <v>277</v>
      </c>
      <c r="B14" s="57">
        <v>1307.0</v>
      </c>
      <c r="C14" s="57">
        <v>1307.0</v>
      </c>
      <c r="D14" s="4">
        <f>750*8</f>
        <v>6000</v>
      </c>
      <c r="E14" s="3">
        <v>1500.0</v>
      </c>
      <c r="F14" s="51">
        <f>F11*8</f>
        <v>42.4</v>
      </c>
      <c r="G14" s="3" t="s">
        <v>245</v>
      </c>
      <c r="H14" s="10">
        <v>75.3</v>
      </c>
      <c r="I14" s="49" t="s">
        <v>278</v>
      </c>
      <c r="J14" s="50" t="s">
        <v>279</v>
      </c>
    </row>
    <row r="15">
      <c r="A15" s="3" t="s">
        <v>280</v>
      </c>
      <c r="B15" s="58">
        <f t="shared" ref="B15:C15" si="1">8*B5</f>
        <v>536</v>
      </c>
      <c r="C15" s="59">
        <f t="shared" si="1"/>
        <v>536</v>
      </c>
      <c r="D15" s="10">
        <v>10200.0</v>
      </c>
      <c r="E15" s="3">
        <v>640.0</v>
      </c>
      <c r="F15" s="4">
        <f>F5*8</f>
        <v>26.8</v>
      </c>
      <c r="G15" s="3" t="s">
        <v>245</v>
      </c>
      <c r="H15" s="3">
        <v>130.45</v>
      </c>
      <c r="I15" s="49" t="s">
        <v>281</v>
      </c>
      <c r="J15" s="50" t="s">
        <v>282</v>
      </c>
      <c r="K15" s="52">
        <v>228.9891</v>
      </c>
    </row>
    <row r="16">
      <c r="A16" s="3" t="s">
        <v>283</v>
      </c>
      <c r="B16" s="4">
        <f>B9*8</f>
        <v>600</v>
      </c>
      <c r="C16" s="60">
        <f>37*8</f>
        <v>296</v>
      </c>
      <c r="D16" s="10">
        <v>14300.0</v>
      </c>
      <c r="E16" s="10">
        <v>1400.0</v>
      </c>
      <c r="F16" s="10">
        <v>62.0</v>
      </c>
      <c r="G16" s="3" t="s">
        <v>245</v>
      </c>
      <c r="H16" s="10">
        <v>84.5</v>
      </c>
      <c r="I16" s="49" t="s">
        <v>284</v>
      </c>
      <c r="J16" s="3" t="s">
        <v>285</v>
      </c>
      <c r="K16" s="52">
        <v>313.4829</v>
      </c>
    </row>
    <row r="17">
      <c r="A17" s="3" t="s">
        <v>286</v>
      </c>
      <c r="B17" s="57">
        <v>5760.0</v>
      </c>
      <c r="C17" s="61">
        <v>2880.0</v>
      </c>
      <c r="D17" s="62">
        <v>120000.0</v>
      </c>
      <c r="E17" s="53">
        <f>186*72</f>
        <v>13392</v>
      </c>
      <c r="F17" s="10">
        <v>576.0</v>
      </c>
      <c r="G17" s="46" t="s">
        <v>245</v>
      </c>
      <c r="H17" s="10">
        <v>1360.0</v>
      </c>
      <c r="I17" s="49" t="s">
        <v>287</v>
      </c>
      <c r="J17" s="50" t="s">
        <v>288</v>
      </c>
      <c r="K17" s="52">
        <v>418.3642</v>
      </c>
    </row>
    <row r="18">
      <c r="A18" s="3" t="s">
        <v>289</v>
      </c>
      <c r="B18" s="58">
        <f>5000</f>
        <v>5000</v>
      </c>
      <c r="C18" s="63">
        <v>0.0</v>
      </c>
      <c r="D18" s="64">
        <v>23000.0</v>
      </c>
      <c r="E18" s="53">
        <v>44.0</v>
      </c>
      <c r="F18" s="53">
        <v>21000.0</v>
      </c>
      <c r="G18" s="46" t="s">
        <v>245</v>
      </c>
      <c r="H18" s="3">
        <v>300.0</v>
      </c>
      <c r="I18" s="49" t="s">
        <v>290</v>
      </c>
      <c r="J18" s="50" t="s">
        <v>291</v>
      </c>
    </row>
    <row r="19">
      <c r="A19" s="3" t="s">
        <v>292</v>
      </c>
      <c r="B19" s="3">
        <v>0.192</v>
      </c>
      <c r="C19" s="3">
        <v>0.192</v>
      </c>
      <c r="D19" s="3">
        <v>17.0</v>
      </c>
      <c r="E19" s="3">
        <v>0.00158</v>
      </c>
      <c r="F19" s="3">
        <v>0.00675</v>
      </c>
      <c r="G19" s="3" t="s">
        <v>245</v>
      </c>
      <c r="H19" s="3">
        <v>10.0</v>
      </c>
      <c r="I19" s="49" t="s">
        <v>293</v>
      </c>
      <c r="J19" s="3" t="s">
        <v>294</v>
      </c>
    </row>
    <row r="20">
      <c r="A20" s="3" t="s">
        <v>295</v>
      </c>
      <c r="J20" s="3" t="s">
        <v>296</v>
      </c>
    </row>
    <row r="21">
      <c r="A21" s="3" t="s">
        <v>244</v>
      </c>
      <c r="J21" s="3" t="s">
        <v>296</v>
      </c>
    </row>
    <row r="22">
      <c r="A22" s="3" t="s">
        <v>297</v>
      </c>
      <c r="B22" s="3">
        <v>66.0</v>
      </c>
      <c r="C22" s="3">
        <v>1.7</v>
      </c>
      <c r="E22" s="3">
        <v>32.0</v>
      </c>
      <c r="F22" s="3">
        <v>1.6</v>
      </c>
      <c r="J22" s="3" t="s">
        <v>296</v>
      </c>
    </row>
    <row r="23">
      <c r="A23" s="3" t="s">
        <v>298</v>
      </c>
      <c r="B23" s="3">
        <v>9.0</v>
      </c>
      <c r="C23" s="3">
        <f>3.3*64*2*32/1000</f>
        <v>13.5168</v>
      </c>
      <c r="D23" s="3">
        <v>800.0</v>
      </c>
      <c r="E23" s="3">
        <v>1500.0</v>
      </c>
      <c r="F23" s="48">
        <f>0.576*2</f>
        <v>1.152</v>
      </c>
      <c r="G23" s="3" t="s">
        <v>245</v>
      </c>
      <c r="J23" s="3" t="s">
        <v>296</v>
      </c>
    </row>
    <row r="24">
      <c r="A24" s="3" t="s">
        <v>299</v>
      </c>
      <c r="B24" s="3">
        <v>2.4</v>
      </c>
      <c r="C24" s="3">
        <v>2.4</v>
      </c>
      <c r="D24" s="3">
        <v>25.0</v>
      </c>
      <c r="E24" s="3">
        <v>16.0</v>
      </c>
      <c r="F24" s="3">
        <v>0.102</v>
      </c>
      <c r="J24" s="3" t="s">
        <v>300</v>
      </c>
    </row>
    <row r="25">
      <c r="A25" s="3" t="s">
        <v>301</v>
      </c>
      <c r="B25" s="3">
        <v>27.5</v>
      </c>
      <c r="C25" s="3">
        <v>27.5</v>
      </c>
      <c r="D25" s="3">
        <v>60.0</v>
      </c>
      <c r="E25" s="3">
        <v>64.0</v>
      </c>
      <c r="F25" s="3">
        <v>0.2048</v>
      </c>
      <c r="J25" s="3" t="s">
        <v>302</v>
      </c>
    </row>
    <row r="26">
      <c r="A26" s="3" t="s">
        <v>109</v>
      </c>
      <c r="B26" s="4">
        <f t="shared" ref="B26:C26" si="2">2.2*16/1000</f>
        <v>0.0352</v>
      </c>
      <c r="C26" s="4">
        <f t="shared" si="2"/>
        <v>0.0352</v>
      </c>
      <c r="E26" s="3">
        <v>128.0</v>
      </c>
      <c r="F26" s="3">
        <v>0.0576</v>
      </c>
    </row>
    <row r="27">
      <c r="A27" s="3" t="s">
        <v>303</v>
      </c>
    </row>
    <row r="28">
      <c r="A28" s="3" t="s">
        <v>304</v>
      </c>
      <c r="B28" s="4">
        <f t="shared" ref="B28:F28" si="3">B9*2</f>
        <v>150</v>
      </c>
      <c r="C28" s="4">
        <f t="shared" si="3"/>
        <v>74</v>
      </c>
      <c r="D28" s="4">
        <f t="shared" si="3"/>
        <v>2000</v>
      </c>
      <c r="E28" s="4">
        <f t="shared" si="3"/>
        <v>360</v>
      </c>
      <c r="F28" s="4">
        <f t="shared" si="3"/>
        <v>15.4</v>
      </c>
    </row>
    <row r="29">
      <c r="A29" s="3" t="s">
        <v>305</v>
      </c>
      <c r="B29" s="4">
        <f t="shared" ref="B29:F29" si="4">B28*2</f>
        <v>300</v>
      </c>
      <c r="C29" s="4">
        <f t="shared" si="4"/>
        <v>148</v>
      </c>
      <c r="D29" s="4">
        <f t="shared" si="4"/>
        <v>4000</v>
      </c>
      <c r="E29" s="4">
        <f t="shared" si="4"/>
        <v>720</v>
      </c>
      <c r="F29" s="4">
        <f t="shared" si="4"/>
        <v>30.8</v>
      </c>
    </row>
    <row r="30">
      <c r="A30" s="3" t="s">
        <v>218</v>
      </c>
      <c r="C30" s="4">
        <v>7.511923510185553</v>
      </c>
      <c r="E30" s="3">
        <v>110.0</v>
      </c>
      <c r="F30" s="5">
        <v>29.25</v>
      </c>
    </row>
    <row r="31">
      <c r="A31" s="3" t="s">
        <v>103</v>
      </c>
      <c r="C31" s="4">
        <v>7.511923510185553</v>
      </c>
      <c r="E31" s="3">
        <v>110.0</v>
      </c>
      <c r="F31" s="5">
        <v>29.25</v>
      </c>
    </row>
  </sheetData>
  <dataValidations>
    <dataValidation type="list" allowBlank="1" showErrorMessage="1" sqref="I2:I9 I11:I19">
      <formula1>Sources!$A$2:$A$1000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9.5"/>
    <col customWidth="1" min="3" max="3" width="21.38"/>
    <col customWidth="1" min="4" max="4" width="16.0"/>
    <col customWidth="1" min="5" max="5" width="17.63"/>
    <col customWidth="1" min="6" max="6" width="13.0"/>
    <col customWidth="1" min="7" max="7" width="51.13"/>
  </cols>
  <sheetData>
    <row r="1">
      <c r="A1" s="32" t="s">
        <v>127</v>
      </c>
      <c r="B1" s="32" t="s">
        <v>306</v>
      </c>
      <c r="C1" s="32" t="s">
        <v>307</v>
      </c>
      <c r="D1" s="32" t="s">
        <v>308</v>
      </c>
      <c r="E1" s="32" t="s">
        <v>309</v>
      </c>
      <c r="F1" s="32" t="s">
        <v>310</v>
      </c>
      <c r="G1" s="32" t="s">
        <v>48</v>
      </c>
    </row>
    <row r="2">
      <c r="A2" s="3" t="s">
        <v>70</v>
      </c>
      <c r="B2" s="3" t="s">
        <v>297</v>
      </c>
      <c r="C2" s="3" t="s">
        <v>311</v>
      </c>
      <c r="D2" s="5">
        <v>0.0249</v>
      </c>
      <c r="E2" s="5">
        <v>0.0453</v>
      </c>
      <c r="F2" s="65">
        <f t="shared" ref="F2:F16" si="1">E2/D2</f>
        <v>1.819277108</v>
      </c>
    </row>
    <row r="3">
      <c r="A3" s="3" t="s">
        <v>70</v>
      </c>
      <c r="B3" s="3" t="s">
        <v>244</v>
      </c>
      <c r="C3" s="3" t="s">
        <v>311</v>
      </c>
      <c r="D3" s="5">
        <v>0.33027</v>
      </c>
      <c r="E3" s="5">
        <v>0.3743</v>
      </c>
      <c r="F3" s="65">
        <f t="shared" si="1"/>
        <v>1.133315166</v>
      </c>
    </row>
    <row r="4">
      <c r="A4" s="3" t="s">
        <v>61</v>
      </c>
      <c r="B4" s="3" t="s">
        <v>297</v>
      </c>
      <c r="C4" s="3" t="s">
        <v>311</v>
      </c>
      <c r="D4" s="5">
        <v>1.385E-4</v>
      </c>
      <c r="E4" s="5">
        <v>1.47E-4</v>
      </c>
      <c r="F4" s="65">
        <f t="shared" si="1"/>
        <v>1.061371841</v>
      </c>
    </row>
    <row r="5">
      <c r="A5" s="3" t="s">
        <v>61</v>
      </c>
      <c r="B5" s="3" t="s">
        <v>295</v>
      </c>
      <c r="C5" s="3" t="s">
        <v>311</v>
      </c>
      <c r="D5" s="5">
        <v>0.0045294</v>
      </c>
      <c r="E5" s="5">
        <v>0.00496</v>
      </c>
      <c r="F5" s="65">
        <f t="shared" si="1"/>
        <v>1.095067779</v>
      </c>
    </row>
    <row r="6">
      <c r="A6" s="3" t="s">
        <v>61</v>
      </c>
      <c r="B6" s="3" t="s">
        <v>252</v>
      </c>
      <c r="C6" s="3" t="s">
        <v>11</v>
      </c>
      <c r="D6" s="5">
        <v>0.02769001</v>
      </c>
      <c r="E6" s="5">
        <v>0.0157691770268656</v>
      </c>
      <c r="F6" s="65">
        <f t="shared" si="1"/>
        <v>0.5694897556</v>
      </c>
    </row>
    <row r="7">
      <c r="A7" s="3" t="s">
        <v>52</v>
      </c>
      <c r="B7" s="3" t="s">
        <v>297</v>
      </c>
      <c r="C7" s="3" t="s">
        <v>11</v>
      </c>
      <c r="D7" s="5">
        <v>4.942469E-4</v>
      </c>
      <c r="E7" s="14">
        <v>8.9803E-6</v>
      </c>
      <c r="F7" s="65">
        <f t="shared" si="1"/>
        <v>0.01816966379</v>
      </c>
    </row>
    <row r="8">
      <c r="A8" s="3" t="s">
        <v>52</v>
      </c>
      <c r="B8" s="3" t="s">
        <v>252</v>
      </c>
      <c r="C8" s="3" t="s">
        <v>11</v>
      </c>
      <c r="D8" s="5">
        <v>3.96692395597761E-4</v>
      </c>
      <c r="E8" s="5">
        <v>1.2867295522388E-5</v>
      </c>
      <c r="F8" s="65">
        <f t="shared" si="1"/>
        <v>0.03243645622</v>
      </c>
    </row>
    <row r="9">
      <c r="A9" s="3" t="s">
        <v>75</v>
      </c>
      <c r="B9" s="3" t="s">
        <v>297</v>
      </c>
      <c r="C9" s="3" t="s">
        <v>312</v>
      </c>
      <c r="D9" s="5">
        <v>0.00285</v>
      </c>
      <c r="E9" s="14">
        <v>3.125E-4</v>
      </c>
      <c r="F9" s="65">
        <f t="shared" si="1"/>
        <v>0.1096491228</v>
      </c>
      <c r="G9" s="3" t="s">
        <v>313</v>
      </c>
    </row>
    <row r="10">
      <c r="A10" s="3" t="s">
        <v>75</v>
      </c>
      <c r="B10" s="3" t="s">
        <v>297</v>
      </c>
      <c r="C10" s="3" t="s">
        <v>312</v>
      </c>
      <c r="D10" s="5">
        <v>0.00346</v>
      </c>
      <c r="E10" s="14">
        <v>8.838834764831844E-4</v>
      </c>
      <c r="F10" s="65">
        <f t="shared" si="1"/>
        <v>0.2554576522</v>
      </c>
      <c r="G10" s="3" t="s">
        <v>314</v>
      </c>
    </row>
    <row r="11">
      <c r="A11" s="3" t="s">
        <v>75</v>
      </c>
      <c r="B11" s="3" t="s">
        <v>297</v>
      </c>
      <c r="C11" s="3" t="s">
        <v>312</v>
      </c>
      <c r="D11" s="5">
        <v>0.00363</v>
      </c>
      <c r="E11" s="14">
        <v>0.0017677669529663688</v>
      </c>
      <c r="F11" s="65">
        <f t="shared" si="1"/>
        <v>0.4869881413</v>
      </c>
      <c r="G11" s="3" t="s">
        <v>315</v>
      </c>
    </row>
    <row r="12">
      <c r="A12" s="3" t="s">
        <v>75</v>
      </c>
      <c r="B12" s="3" t="s">
        <v>297</v>
      </c>
      <c r="C12" s="3" t="s">
        <v>312</v>
      </c>
      <c r="D12" s="5">
        <v>0.00361</v>
      </c>
      <c r="E12" s="14">
        <v>0.0025</v>
      </c>
      <c r="F12" s="65">
        <f t="shared" si="1"/>
        <v>0.6925207756</v>
      </c>
      <c r="G12" s="3" t="s">
        <v>316</v>
      </c>
    </row>
    <row r="13">
      <c r="A13" s="3" t="s">
        <v>75</v>
      </c>
      <c r="B13" s="3" t="s">
        <v>252</v>
      </c>
      <c r="C13" s="3" t="s">
        <v>312</v>
      </c>
      <c r="D13" s="5">
        <v>0.00124</v>
      </c>
      <c r="E13" s="14">
        <v>1.282051282051282E-4</v>
      </c>
      <c r="F13" s="65">
        <f t="shared" si="1"/>
        <v>0.1033912324</v>
      </c>
      <c r="G13" s="3" t="s">
        <v>313</v>
      </c>
    </row>
    <row r="14">
      <c r="A14" s="3" t="s">
        <v>75</v>
      </c>
      <c r="B14" s="3" t="s">
        <v>252</v>
      </c>
      <c r="C14" s="3" t="s">
        <v>312</v>
      </c>
      <c r="D14" s="5">
        <v>0.00122</v>
      </c>
      <c r="E14" s="14">
        <v>3.6261886214694746E-4</v>
      </c>
      <c r="F14" s="65">
        <f t="shared" si="1"/>
        <v>0.2972285755</v>
      </c>
      <c r="G14" s="3" t="s">
        <v>314</v>
      </c>
    </row>
    <row r="15">
      <c r="A15" s="3" t="s">
        <v>75</v>
      </c>
      <c r="B15" s="3" t="s">
        <v>252</v>
      </c>
      <c r="C15" s="3" t="s">
        <v>312</v>
      </c>
      <c r="D15" s="5">
        <v>0.00143</v>
      </c>
      <c r="E15" s="14">
        <v>0.0010666666666666667</v>
      </c>
      <c r="F15" s="65">
        <f t="shared" si="1"/>
        <v>0.7459207459</v>
      </c>
      <c r="G15" s="3" t="s">
        <v>315</v>
      </c>
    </row>
    <row r="16">
      <c r="A16" s="3" t="s">
        <v>75</v>
      </c>
      <c r="B16" s="3" t="s">
        <v>252</v>
      </c>
      <c r="C16" s="3" t="s">
        <v>312</v>
      </c>
      <c r="D16" s="5">
        <v>0.0018</v>
      </c>
      <c r="E16" s="14">
        <v>0.0021333333333333334</v>
      </c>
      <c r="F16" s="65">
        <f t="shared" si="1"/>
        <v>1.185185185</v>
      </c>
      <c r="G16" s="3" t="s">
        <v>316</v>
      </c>
      <c r="H16" s="66"/>
    </row>
    <row r="22">
      <c r="C22" s="3" t="s">
        <v>317</v>
      </c>
    </row>
    <row r="23">
      <c r="C23" s="3" t="s">
        <v>318</v>
      </c>
    </row>
    <row r="24">
      <c r="C24" s="3" t="s">
        <v>319</v>
      </c>
    </row>
    <row r="25">
      <c r="C25" s="3" t="s">
        <v>320</v>
      </c>
    </row>
  </sheetData>
  <autoFilter ref="$A$1:$G$16">
    <sortState ref="A1:G16">
      <sortCondition ref="A1:A16"/>
    </sortState>
  </autoFilter>
  <dataValidations>
    <dataValidation type="list" allowBlank="1" showErrorMessage="1" sqref="C2:C16">
      <formula1>'System Specs'!$A$2:$A$14</formula1>
    </dataValidation>
    <dataValidation type="list" allowBlank="1" showErrorMessage="1" sqref="B2:B16">
      <formula1>'Compute Specs'!$A$2:$A$26</formula1>
    </dataValidation>
    <dataValidation type="list" allowBlank="1" showErrorMessage="1" sqref="A2:A16">
      <formula1>'Obsolete Main'!$A$19:$A$34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6" max="6" width="16.63"/>
    <col customWidth="1" min="7" max="7" width="19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321</v>
      </c>
      <c r="G1" s="2" t="s">
        <v>7</v>
      </c>
    </row>
    <row r="2">
      <c r="A2" s="3" t="s">
        <v>311</v>
      </c>
      <c r="B2" s="3" t="s">
        <v>322</v>
      </c>
      <c r="C2" s="3">
        <v>7.0</v>
      </c>
      <c r="D2" s="3">
        <v>3.0</v>
      </c>
      <c r="E2" s="3">
        <v>9.0</v>
      </c>
      <c r="F2" s="3">
        <v>48.0</v>
      </c>
      <c r="G2" s="3">
        <v>386.0</v>
      </c>
    </row>
    <row r="3">
      <c r="A3" s="3" t="s">
        <v>312</v>
      </c>
      <c r="B3" s="3" t="s">
        <v>323</v>
      </c>
      <c r="C3" s="3">
        <v>5.0</v>
      </c>
      <c r="D3" s="3">
        <v>2.4</v>
      </c>
      <c r="E3" s="3">
        <v>32.0</v>
      </c>
      <c r="F3" s="3">
        <v>64.0</v>
      </c>
      <c r="G3" s="3">
        <v>400.0</v>
      </c>
    </row>
    <row r="4">
      <c r="A4" s="3" t="s">
        <v>324</v>
      </c>
      <c r="B4" s="3" t="s">
        <v>325</v>
      </c>
      <c r="C4" s="3">
        <v>5.0</v>
      </c>
      <c r="D4" s="3">
        <v>4.0</v>
      </c>
      <c r="E4" s="3">
        <v>40.0</v>
      </c>
      <c r="F4" s="3">
        <v>128.0</v>
      </c>
      <c r="G4" s="3">
        <v>400.0</v>
      </c>
    </row>
    <row r="5">
      <c r="A5" s="3" t="s">
        <v>11</v>
      </c>
      <c r="B5" s="3" t="s">
        <v>325</v>
      </c>
      <c r="C5" s="3">
        <v>5.0</v>
      </c>
      <c r="D5" s="3">
        <v>3.5</v>
      </c>
      <c r="E5" s="3">
        <v>64.0</v>
      </c>
      <c r="F5" s="3">
        <v>128.0</v>
      </c>
      <c r="G5" s="3">
        <v>400.0</v>
      </c>
    </row>
    <row r="6">
      <c r="A6" s="3" t="s">
        <v>326</v>
      </c>
      <c r="B6" s="3" t="s">
        <v>325</v>
      </c>
      <c r="C6" s="3">
        <v>5.0</v>
      </c>
      <c r="D6" s="3">
        <v>3.5</v>
      </c>
      <c r="E6" s="3">
        <v>64.0</v>
      </c>
      <c r="F6" s="3">
        <v>128.0</v>
      </c>
      <c r="G6" s="3">
        <v>400.0</v>
      </c>
    </row>
    <row r="7">
      <c r="A7" s="3" t="s">
        <v>327</v>
      </c>
      <c r="B7" s="3" t="s">
        <v>328</v>
      </c>
      <c r="C7" s="3">
        <v>5.0</v>
      </c>
      <c r="D7" s="3">
        <v>4.0</v>
      </c>
      <c r="E7" s="3">
        <v>40.0</v>
      </c>
      <c r="F7" s="3">
        <v>128.0</v>
      </c>
      <c r="G7" s="3">
        <v>400.0</v>
      </c>
    </row>
    <row r="8">
      <c r="A8" s="3" t="s">
        <v>329</v>
      </c>
      <c r="B8" s="3" t="s">
        <v>328</v>
      </c>
      <c r="C8" s="3">
        <v>5.0</v>
      </c>
      <c r="D8" s="3">
        <v>3.5</v>
      </c>
      <c r="E8" s="3">
        <v>64.0</v>
      </c>
      <c r="F8" s="3">
        <v>128.0</v>
      </c>
      <c r="G8" s="3">
        <v>400.0</v>
      </c>
    </row>
    <row r="9">
      <c r="A9" s="3" t="s">
        <v>330</v>
      </c>
      <c r="B9" s="3" t="s">
        <v>328</v>
      </c>
      <c r="C9" s="3">
        <v>5.0</v>
      </c>
      <c r="D9" s="3">
        <v>3.5</v>
      </c>
      <c r="E9" s="3">
        <v>64.0</v>
      </c>
      <c r="F9" s="3">
        <v>128.0</v>
      </c>
      <c r="G9" s="3">
        <v>400.0</v>
      </c>
    </row>
    <row r="10">
      <c r="A10" s="3" t="s">
        <v>331</v>
      </c>
      <c r="B10" s="3" t="s">
        <v>332</v>
      </c>
      <c r="F10" s="3">
        <v>128.0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1.13"/>
    <col customWidth="1" min="3" max="3" width="14.88"/>
  </cols>
  <sheetData>
    <row r="1">
      <c r="A1" s="2" t="s">
        <v>173</v>
      </c>
      <c r="B1" s="2" t="s">
        <v>174</v>
      </c>
      <c r="C1" s="29" t="s">
        <v>175</v>
      </c>
      <c r="D1" s="2" t="s">
        <v>333</v>
      </c>
      <c r="E1" s="2" t="s">
        <v>177</v>
      </c>
      <c r="F1" s="2" t="s">
        <v>334</v>
      </c>
      <c r="I1" s="3"/>
    </row>
    <row r="2">
      <c r="A2" s="3" t="s">
        <v>178</v>
      </c>
      <c r="B2" s="3" t="s">
        <v>335</v>
      </c>
      <c r="C2" s="46">
        <v>0.5</v>
      </c>
      <c r="D2" s="46">
        <v>1450.9</v>
      </c>
      <c r="E2" s="46">
        <v>1.4038</v>
      </c>
      <c r="F2" s="3" t="s">
        <v>336</v>
      </c>
    </row>
    <row r="3">
      <c r="A3" s="3" t="s">
        <v>337</v>
      </c>
      <c r="B3" s="3" t="s">
        <v>335</v>
      </c>
      <c r="C3" s="42">
        <f>1/1.7</f>
        <v>0.5882352941</v>
      </c>
      <c r="D3" s="46">
        <v>1713.522592</v>
      </c>
      <c r="E3" s="46">
        <v>1.882</v>
      </c>
      <c r="F3" s="3" t="s">
        <v>336</v>
      </c>
    </row>
    <row r="4">
      <c r="A4" s="3" t="s">
        <v>338</v>
      </c>
      <c r="B4" s="3" t="s">
        <v>339</v>
      </c>
      <c r="C4" s="46">
        <v>0.71</v>
      </c>
      <c r="D4" s="46">
        <v>166160.0</v>
      </c>
      <c r="E4" s="46">
        <v>39.5</v>
      </c>
      <c r="F4" s="3" t="s">
        <v>340</v>
      </c>
    </row>
    <row r="5">
      <c r="A5" s="3" t="s">
        <v>341</v>
      </c>
      <c r="B5" s="3" t="s">
        <v>342</v>
      </c>
      <c r="C5" s="46">
        <v>0.33</v>
      </c>
      <c r="D5" s="46">
        <v>21043.0</v>
      </c>
      <c r="E5" s="46">
        <v>8.52</v>
      </c>
      <c r="F5" s="3" t="s">
        <v>336</v>
      </c>
    </row>
    <row r="6">
      <c r="C6" s="42"/>
      <c r="D6" s="42"/>
      <c r="E6" s="42"/>
    </row>
    <row r="7">
      <c r="C7" s="42"/>
      <c r="D7" s="42"/>
      <c r="E7" s="42"/>
    </row>
    <row r="8">
      <c r="C8" s="42"/>
      <c r="D8" s="42"/>
      <c r="E8" s="42"/>
    </row>
    <row r="9">
      <c r="C9" s="42"/>
      <c r="D9" s="42"/>
      <c r="E9" s="42"/>
    </row>
    <row r="10">
      <c r="C10" s="42"/>
      <c r="D10" s="42"/>
      <c r="E10" s="42"/>
    </row>
    <row r="11">
      <c r="C11" s="42"/>
      <c r="D11" s="42"/>
      <c r="E11" s="42"/>
    </row>
    <row r="12">
      <c r="C12" s="42"/>
      <c r="D12" s="42"/>
      <c r="E12" s="42"/>
    </row>
    <row r="13">
      <c r="C13" s="42"/>
      <c r="D13" s="42"/>
      <c r="E13" s="42"/>
    </row>
    <row r="14">
      <c r="C14" s="42"/>
      <c r="D14" s="42"/>
      <c r="E14" s="42"/>
    </row>
    <row r="15">
      <c r="C15" s="42"/>
      <c r="D15" s="42"/>
      <c r="E15" s="42"/>
    </row>
    <row r="16">
      <c r="C16" s="42"/>
      <c r="D16" s="42"/>
      <c r="E16" s="42"/>
    </row>
    <row r="17">
      <c r="C17" s="42"/>
      <c r="D17" s="42"/>
      <c r="E17" s="42"/>
    </row>
    <row r="18">
      <c r="C18" s="42"/>
      <c r="D18" s="42"/>
      <c r="E18" s="42"/>
    </row>
    <row r="19">
      <c r="C19" s="42"/>
      <c r="D19" s="42"/>
      <c r="E19" s="42"/>
    </row>
    <row r="20">
      <c r="C20" s="42"/>
      <c r="D20" s="42"/>
      <c r="E20" s="42"/>
    </row>
    <row r="21">
      <c r="C21" s="42"/>
      <c r="D21" s="42"/>
      <c r="E21" s="42"/>
    </row>
    <row r="22">
      <c r="C22" s="42"/>
      <c r="D22" s="42"/>
      <c r="E22" s="42"/>
    </row>
    <row r="23">
      <c r="C23" s="42"/>
      <c r="D23" s="42"/>
      <c r="E23" s="42"/>
    </row>
    <row r="24">
      <c r="C24" s="42"/>
      <c r="D24" s="42"/>
      <c r="E24" s="42"/>
    </row>
    <row r="25">
      <c r="C25" s="42"/>
      <c r="D25" s="42"/>
      <c r="E25" s="42"/>
    </row>
    <row r="26">
      <c r="C26" s="42"/>
      <c r="D26" s="42"/>
      <c r="E26" s="42"/>
    </row>
    <row r="27">
      <c r="C27" s="42"/>
      <c r="D27" s="42"/>
      <c r="E27" s="42"/>
    </row>
    <row r="28">
      <c r="C28" s="42"/>
      <c r="D28" s="42"/>
      <c r="E28" s="42"/>
    </row>
    <row r="29">
      <c r="C29" s="42"/>
      <c r="D29" s="42"/>
      <c r="E29" s="42"/>
    </row>
    <row r="30">
      <c r="C30" s="42"/>
      <c r="D30" s="42"/>
      <c r="E30" s="42"/>
    </row>
    <row r="31">
      <c r="C31" s="42"/>
      <c r="D31" s="42"/>
      <c r="E31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1.38"/>
    <col customWidth="1" min="3" max="3" width="127.13"/>
    <col customWidth="1" min="4" max="4" width="80.0"/>
  </cols>
  <sheetData>
    <row r="1">
      <c r="A1" s="44" t="s">
        <v>343</v>
      </c>
      <c r="B1" s="2" t="s">
        <v>344</v>
      </c>
      <c r="C1" s="2" t="s">
        <v>345</v>
      </c>
      <c r="D1" s="2" t="s">
        <v>346</v>
      </c>
    </row>
    <row r="2">
      <c r="A2" s="67" t="s">
        <v>347</v>
      </c>
      <c r="B2" s="3" t="s">
        <v>348</v>
      </c>
      <c r="C2" s="3" t="s">
        <v>349</v>
      </c>
      <c r="D2" s="68" t="s">
        <v>350</v>
      </c>
    </row>
    <row r="3">
      <c r="A3" s="67" t="s">
        <v>351</v>
      </c>
      <c r="B3" s="3" t="s">
        <v>352</v>
      </c>
      <c r="C3" s="69" t="s">
        <v>353</v>
      </c>
      <c r="D3" s="70" t="s">
        <v>354</v>
      </c>
    </row>
    <row r="4">
      <c r="A4" s="67" t="s">
        <v>355</v>
      </c>
      <c r="B4" s="3" t="s">
        <v>352</v>
      </c>
      <c r="C4" s="3" t="s">
        <v>356</v>
      </c>
      <c r="D4" s="70" t="s">
        <v>357</v>
      </c>
    </row>
    <row r="5">
      <c r="A5" s="67" t="s">
        <v>246</v>
      </c>
      <c r="B5" s="3" t="s">
        <v>358</v>
      </c>
      <c r="C5" s="3" t="s">
        <v>359</v>
      </c>
      <c r="D5" s="68" t="s">
        <v>360</v>
      </c>
    </row>
    <row r="6">
      <c r="A6" s="67" t="s">
        <v>263</v>
      </c>
      <c r="B6" s="3" t="s">
        <v>352</v>
      </c>
      <c r="C6" s="3" t="s">
        <v>361</v>
      </c>
      <c r="D6" s="70" t="s">
        <v>362</v>
      </c>
    </row>
    <row r="7">
      <c r="A7" s="67" t="s">
        <v>250</v>
      </c>
      <c r="B7" s="3" t="s">
        <v>352</v>
      </c>
      <c r="C7" s="3" t="s">
        <v>363</v>
      </c>
      <c r="D7" s="68" t="s">
        <v>364</v>
      </c>
    </row>
    <row r="8">
      <c r="A8" s="67" t="s">
        <v>365</v>
      </c>
      <c r="B8" s="3" t="s">
        <v>366</v>
      </c>
      <c r="C8" s="3" t="s">
        <v>367</v>
      </c>
      <c r="D8" s="70" t="s">
        <v>368</v>
      </c>
    </row>
    <row r="9">
      <c r="A9" s="67" t="s">
        <v>369</v>
      </c>
      <c r="B9" s="3" t="s">
        <v>352</v>
      </c>
      <c r="C9" s="3" t="s">
        <v>370</v>
      </c>
      <c r="D9" s="70" t="s">
        <v>371</v>
      </c>
    </row>
    <row r="10">
      <c r="A10" s="67" t="s">
        <v>278</v>
      </c>
      <c r="B10" s="3" t="s">
        <v>352</v>
      </c>
      <c r="C10" s="3" t="s">
        <v>372</v>
      </c>
      <c r="D10" s="70" t="s">
        <v>373</v>
      </c>
    </row>
    <row r="11">
      <c r="A11" s="67" t="s">
        <v>374</v>
      </c>
      <c r="B11" s="3" t="s">
        <v>375</v>
      </c>
      <c r="C11" s="3" t="s">
        <v>376</v>
      </c>
      <c r="D11" s="70" t="s">
        <v>377</v>
      </c>
    </row>
    <row r="12">
      <c r="A12" s="67" t="s">
        <v>275</v>
      </c>
      <c r="B12" s="3" t="s">
        <v>352</v>
      </c>
      <c r="C12" s="3" t="s">
        <v>378</v>
      </c>
      <c r="D12" s="68" t="s">
        <v>379</v>
      </c>
    </row>
    <row r="13">
      <c r="A13" s="67" t="s">
        <v>257</v>
      </c>
      <c r="B13" s="3" t="s">
        <v>352</v>
      </c>
      <c r="C13" s="3" t="s">
        <v>380</v>
      </c>
      <c r="D13" s="68" t="s">
        <v>381</v>
      </c>
    </row>
    <row r="14">
      <c r="A14" s="67" t="s">
        <v>272</v>
      </c>
      <c r="B14" s="3" t="s">
        <v>352</v>
      </c>
      <c r="C14" s="3" t="s">
        <v>382</v>
      </c>
      <c r="D14" s="70" t="s">
        <v>383</v>
      </c>
    </row>
    <row r="15">
      <c r="A15" s="67" t="s">
        <v>281</v>
      </c>
      <c r="B15" s="3" t="s">
        <v>384</v>
      </c>
      <c r="C15" s="3" t="s">
        <v>385</v>
      </c>
      <c r="D15" s="70" t="s">
        <v>386</v>
      </c>
    </row>
    <row r="16">
      <c r="A16" s="67" t="s">
        <v>387</v>
      </c>
      <c r="B16" s="3" t="s">
        <v>352</v>
      </c>
      <c r="C16" s="3" t="s">
        <v>388</v>
      </c>
      <c r="D16" s="71" t="s">
        <v>362</v>
      </c>
    </row>
    <row r="17">
      <c r="A17" s="67" t="s">
        <v>389</v>
      </c>
      <c r="B17" s="3" t="s">
        <v>390</v>
      </c>
      <c r="C17" s="3" t="s">
        <v>391</v>
      </c>
      <c r="D17" s="68" t="s">
        <v>392</v>
      </c>
    </row>
    <row r="18">
      <c r="A18" s="67" t="s">
        <v>393</v>
      </c>
      <c r="B18" s="3" t="s">
        <v>394</v>
      </c>
      <c r="C18" s="3" t="s">
        <v>395</v>
      </c>
      <c r="D18" s="68" t="s">
        <v>396</v>
      </c>
    </row>
    <row r="19">
      <c r="A19" s="67" t="s">
        <v>397</v>
      </c>
      <c r="B19" s="3" t="s">
        <v>352</v>
      </c>
      <c r="C19" s="3" t="s">
        <v>398</v>
      </c>
      <c r="D19" s="70" t="s">
        <v>399</v>
      </c>
    </row>
    <row r="20">
      <c r="A20" s="67" t="s">
        <v>400</v>
      </c>
      <c r="B20" s="3" t="s">
        <v>348</v>
      </c>
      <c r="C20" s="3" t="s">
        <v>401</v>
      </c>
      <c r="D20" s="70" t="s">
        <v>402</v>
      </c>
    </row>
    <row r="21">
      <c r="A21" s="67" t="s">
        <v>403</v>
      </c>
      <c r="B21" s="3" t="s">
        <v>394</v>
      </c>
      <c r="C21" s="3" t="s">
        <v>404</v>
      </c>
      <c r="D21" s="70" t="s">
        <v>405</v>
      </c>
    </row>
    <row r="22">
      <c r="A22" s="67" t="s">
        <v>293</v>
      </c>
      <c r="B22" s="3" t="s">
        <v>352</v>
      </c>
      <c r="C22" s="3" t="s">
        <v>406</v>
      </c>
      <c r="D22" s="70" t="s">
        <v>407</v>
      </c>
    </row>
    <row r="23">
      <c r="A23" s="67" t="s">
        <v>408</v>
      </c>
      <c r="B23" s="3" t="s">
        <v>348</v>
      </c>
      <c r="C23" s="3" t="s">
        <v>409</v>
      </c>
      <c r="D23" s="68" t="s">
        <v>410</v>
      </c>
    </row>
    <row r="24">
      <c r="A24" s="67" t="s">
        <v>411</v>
      </c>
      <c r="B24" s="3" t="s">
        <v>348</v>
      </c>
      <c r="C24" s="3" t="s">
        <v>412</v>
      </c>
      <c r="D24" s="71" t="s">
        <v>413</v>
      </c>
    </row>
    <row r="25">
      <c r="A25" s="67" t="s">
        <v>414</v>
      </c>
      <c r="B25" s="3" t="s">
        <v>348</v>
      </c>
      <c r="C25" s="3" t="s">
        <v>415</v>
      </c>
      <c r="D25" s="68" t="s">
        <v>416</v>
      </c>
    </row>
    <row r="26">
      <c r="A26" s="67" t="s">
        <v>417</v>
      </c>
      <c r="B26" s="3" t="s">
        <v>418</v>
      </c>
      <c r="C26" s="3" t="s">
        <v>419</v>
      </c>
      <c r="D26" s="71" t="s">
        <v>420</v>
      </c>
    </row>
    <row r="27">
      <c r="A27" s="67" t="s">
        <v>340</v>
      </c>
      <c r="B27" s="3" t="s">
        <v>348</v>
      </c>
      <c r="C27" s="3" t="s">
        <v>421</v>
      </c>
      <c r="D27" s="72"/>
    </row>
    <row r="28">
      <c r="A28" s="67" t="s">
        <v>422</v>
      </c>
      <c r="B28" s="3" t="s">
        <v>348</v>
      </c>
      <c r="C28" s="3" t="s">
        <v>423</v>
      </c>
      <c r="D28" s="68" t="s">
        <v>424</v>
      </c>
    </row>
    <row r="29">
      <c r="A29" s="67" t="s">
        <v>425</v>
      </c>
      <c r="B29" s="3" t="s">
        <v>348</v>
      </c>
      <c r="C29" s="27" t="s">
        <v>426</v>
      </c>
      <c r="D29" s="72"/>
    </row>
    <row r="30">
      <c r="A30" s="67" t="s">
        <v>427</v>
      </c>
      <c r="B30" s="3" t="s">
        <v>348</v>
      </c>
      <c r="C30" s="27" t="s">
        <v>428</v>
      </c>
      <c r="D30" s="72"/>
    </row>
    <row r="31">
      <c r="A31" s="67" t="s">
        <v>429</v>
      </c>
      <c r="B31" s="3" t="s">
        <v>348</v>
      </c>
      <c r="C31" s="3" t="s">
        <v>430</v>
      </c>
      <c r="D31" s="72"/>
    </row>
    <row r="32">
      <c r="A32" s="67" t="s">
        <v>431</v>
      </c>
      <c r="B32" s="3" t="s">
        <v>348</v>
      </c>
      <c r="C32" s="3" t="s">
        <v>432</v>
      </c>
      <c r="D32" s="72"/>
    </row>
    <row r="33">
      <c r="A33" s="67" t="s">
        <v>433</v>
      </c>
      <c r="B33" s="3" t="s">
        <v>348</v>
      </c>
      <c r="C33" s="3" t="s">
        <v>434</v>
      </c>
      <c r="D33" s="72"/>
    </row>
    <row r="34">
      <c r="A34" s="67" t="s">
        <v>435</v>
      </c>
      <c r="B34" s="3" t="s">
        <v>348</v>
      </c>
      <c r="C34" s="3" t="s">
        <v>436</v>
      </c>
      <c r="D34" s="72"/>
    </row>
    <row r="35">
      <c r="A35" s="67" t="s">
        <v>437</v>
      </c>
      <c r="B35" s="3" t="s">
        <v>348</v>
      </c>
      <c r="C35" s="3" t="s">
        <v>438</v>
      </c>
      <c r="D35" s="72"/>
    </row>
    <row r="36">
      <c r="A36" s="67" t="s">
        <v>439</v>
      </c>
      <c r="B36" s="3" t="s">
        <v>348</v>
      </c>
      <c r="C36" s="3" t="s">
        <v>440</v>
      </c>
      <c r="D36" s="72"/>
    </row>
    <row r="37">
      <c r="A37" s="67" t="s">
        <v>441</v>
      </c>
      <c r="B37" s="3" t="s">
        <v>348</v>
      </c>
      <c r="C37" s="3" t="s">
        <v>442</v>
      </c>
      <c r="D37" s="72"/>
    </row>
    <row r="38">
      <c r="A38" s="67" t="s">
        <v>443</v>
      </c>
      <c r="B38" s="3" t="s">
        <v>375</v>
      </c>
      <c r="C38" s="73" t="s">
        <v>444</v>
      </c>
      <c r="D38" s="71" t="s">
        <v>445</v>
      </c>
    </row>
    <row r="39">
      <c r="A39" s="67" t="s">
        <v>446</v>
      </c>
      <c r="B39" s="3" t="s">
        <v>375</v>
      </c>
      <c r="C39" s="74" t="s">
        <v>447</v>
      </c>
      <c r="D39" s="68" t="s">
        <v>448</v>
      </c>
    </row>
    <row r="40">
      <c r="A40" s="75"/>
      <c r="D40" s="72"/>
    </row>
    <row r="41">
      <c r="A41" s="75"/>
      <c r="D41" s="72"/>
    </row>
    <row r="42">
      <c r="A42" s="75"/>
      <c r="D42" s="72"/>
    </row>
    <row r="43">
      <c r="A43" s="75"/>
      <c r="D43" s="72"/>
    </row>
    <row r="44">
      <c r="A44" s="75"/>
      <c r="D44" s="72"/>
    </row>
    <row r="45">
      <c r="A45" s="75"/>
      <c r="D45" s="72"/>
    </row>
    <row r="46">
      <c r="A46" s="75"/>
      <c r="D46" s="72"/>
    </row>
    <row r="47">
      <c r="A47" s="75"/>
      <c r="D47" s="72"/>
    </row>
    <row r="48">
      <c r="A48" s="75"/>
      <c r="D48" s="72"/>
    </row>
    <row r="49">
      <c r="A49" s="75"/>
      <c r="D49" s="72"/>
    </row>
    <row r="50">
      <c r="A50" s="75"/>
      <c r="D50" s="72"/>
    </row>
    <row r="51">
      <c r="A51" s="75"/>
    </row>
    <row r="52">
      <c r="A52" s="75"/>
    </row>
    <row r="53">
      <c r="A53" s="75"/>
    </row>
    <row r="54">
      <c r="A54" s="75"/>
    </row>
    <row r="55">
      <c r="A55" s="75"/>
    </row>
    <row r="56">
      <c r="A56" s="75"/>
    </row>
    <row r="57">
      <c r="A57" s="75"/>
    </row>
    <row r="58">
      <c r="A58" s="75"/>
    </row>
    <row r="59">
      <c r="A59" s="75"/>
    </row>
    <row r="60">
      <c r="A60" s="75"/>
    </row>
    <row r="61">
      <c r="A61" s="75"/>
    </row>
    <row r="62">
      <c r="A62" s="75"/>
    </row>
    <row r="63">
      <c r="A63" s="75"/>
    </row>
    <row r="64">
      <c r="A64" s="75"/>
    </row>
    <row r="65">
      <c r="A65" s="75"/>
    </row>
    <row r="66">
      <c r="A66" s="75"/>
    </row>
    <row r="67">
      <c r="A67" s="75"/>
    </row>
    <row r="68">
      <c r="A68" s="75"/>
    </row>
    <row r="69">
      <c r="A69" s="75"/>
    </row>
    <row r="70">
      <c r="A70" s="75"/>
    </row>
    <row r="71">
      <c r="A71" s="75"/>
    </row>
    <row r="72">
      <c r="A72" s="75"/>
    </row>
    <row r="73">
      <c r="A73" s="75"/>
    </row>
    <row r="74">
      <c r="A74" s="75"/>
    </row>
    <row r="75">
      <c r="A75" s="75"/>
    </row>
    <row r="76">
      <c r="A76" s="75"/>
    </row>
    <row r="77">
      <c r="A77" s="75"/>
    </row>
    <row r="78">
      <c r="A78" s="75"/>
    </row>
    <row r="79">
      <c r="A79" s="75"/>
    </row>
    <row r="80">
      <c r="A80" s="75"/>
    </row>
    <row r="81">
      <c r="A81" s="75"/>
    </row>
    <row r="82">
      <c r="A82" s="75"/>
    </row>
    <row r="83">
      <c r="A83" s="75"/>
    </row>
    <row r="84">
      <c r="A84" s="75"/>
    </row>
    <row r="85">
      <c r="A85" s="75"/>
    </row>
    <row r="86">
      <c r="A86" s="75"/>
    </row>
    <row r="87">
      <c r="A87" s="75"/>
    </row>
    <row r="88">
      <c r="A88" s="75"/>
    </row>
    <row r="89">
      <c r="A89" s="75"/>
    </row>
    <row r="90">
      <c r="A90" s="75"/>
    </row>
    <row r="91">
      <c r="A91" s="75"/>
    </row>
    <row r="92">
      <c r="A92" s="75"/>
    </row>
    <row r="93">
      <c r="A93" s="75"/>
    </row>
    <row r="94">
      <c r="A94" s="75"/>
    </row>
    <row r="95">
      <c r="A95" s="75"/>
    </row>
    <row r="96">
      <c r="A96" s="75"/>
    </row>
    <row r="97">
      <c r="A97" s="75"/>
    </row>
    <row r="98">
      <c r="A98" s="75"/>
    </row>
    <row r="99">
      <c r="A99" s="75"/>
    </row>
    <row r="100">
      <c r="A100" s="75"/>
    </row>
    <row r="101">
      <c r="A101" s="75"/>
    </row>
    <row r="102">
      <c r="A102" s="75"/>
    </row>
    <row r="103">
      <c r="A103" s="75"/>
    </row>
    <row r="104">
      <c r="A104" s="75"/>
    </row>
    <row r="105">
      <c r="A105" s="75"/>
    </row>
    <row r="106">
      <c r="A106" s="75"/>
    </row>
    <row r="107">
      <c r="A107" s="75"/>
    </row>
    <row r="108">
      <c r="A108" s="75"/>
    </row>
    <row r="109">
      <c r="A109" s="75"/>
    </row>
    <row r="110">
      <c r="A110" s="75"/>
    </row>
    <row r="111">
      <c r="A111" s="75"/>
    </row>
    <row r="112">
      <c r="A112" s="75"/>
    </row>
    <row r="113">
      <c r="A113" s="75"/>
    </row>
    <row r="114">
      <c r="A114" s="75"/>
    </row>
    <row r="115">
      <c r="A115" s="75"/>
    </row>
    <row r="116">
      <c r="A116" s="75"/>
    </row>
    <row r="117">
      <c r="A117" s="75"/>
    </row>
    <row r="118">
      <c r="A118" s="75"/>
    </row>
    <row r="119">
      <c r="A119" s="75"/>
    </row>
    <row r="120">
      <c r="A120" s="75"/>
    </row>
    <row r="121">
      <c r="A121" s="75"/>
    </row>
    <row r="122">
      <c r="A122" s="75"/>
    </row>
    <row r="123">
      <c r="A123" s="75"/>
    </row>
    <row r="124">
      <c r="A124" s="75"/>
    </row>
    <row r="125">
      <c r="A125" s="75"/>
    </row>
    <row r="126">
      <c r="A126" s="75"/>
    </row>
    <row r="127">
      <c r="A127" s="75"/>
    </row>
    <row r="128">
      <c r="A128" s="75"/>
    </row>
    <row r="129">
      <c r="A129" s="75"/>
    </row>
    <row r="130">
      <c r="A130" s="75"/>
    </row>
    <row r="131">
      <c r="A131" s="75"/>
    </row>
    <row r="132">
      <c r="A132" s="75"/>
    </row>
    <row r="133">
      <c r="A133" s="75"/>
    </row>
    <row r="134">
      <c r="A134" s="75"/>
    </row>
    <row r="135">
      <c r="A135" s="75"/>
    </row>
    <row r="136">
      <c r="A136" s="75"/>
    </row>
    <row r="137">
      <c r="A137" s="75"/>
    </row>
    <row r="138">
      <c r="A138" s="75"/>
    </row>
    <row r="139">
      <c r="A139" s="75"/>
    </row>
    <row r="140">
      <c r="A140" s="75"/>
    </row>
    <row r="141">
      <c r="A141" s="75"/>
    </row>
    <row r="142">
      <c r="A142" s="75"/>
    </row>
    <row r="143">
      <c r="A143" s="75"/>
    </row>
    <row r="144">
      <c r="A144" s="75"/>
    </row>
    <row r="145">
      <c r="A145" s="75"/>
    </row>
    <row r="146">
      <c r="A146" s="75"/>
    </row>
    <row r="147">
      <c r="A147" s="75"/>
    </row>
    <row r="148">
      <c r="A148" s="75"/>
    </row>
    <row r="149">
      <c r="A149" s="75"/>
    </row>
    <row r="150">
      <c r="A150" s="75"/>
    </row>
    <row r="151">
      <c r="A151" s="75"/>
    </row>
    <row r="152">
      <c r="A152" s="75"/>
    </row>
    <row r="153">
      <c r="A153" s="75"/>
    </row>
    <row r="154">
      <c r="A154" s="75"/>
    </row>
    <row r="155">
      <c r="A155" s="75"/>
    </row>
    <row r="156">
      <c r="A156" s="75"/>
    </row>
    <row r="157">
      <c r="A157" s="75"/>
    </row>
    <row r="158">
      <c r="A158" s="75"/>
    </row>
    <row r="159">
      <c r="A159" s="75"/>
    </row>
    <row r="160">
      <c r="A160" s="75"/>
    </row>
    <row r="161">
      <c r="A161" s="75"/>
    </row>
    <row r="162">
      <c r="A162" s="75"/>
    </row>
    <row r="163">
      <c r="A163" s="75"/>
    </row>
    <row r="164">
      <c r="A164" s="75"/>
    </row>
    <row r="165">
      <c r="A165" s="75"/>
    </row>
    <row r="166">
      <c r="A166" s="75"/>
    </row>
    <row r="167">
      <c r="A167" s="75"/>
    </row>
    <row r="168">
      <c r="A168" s="75"/>
    </row>
    <row r="169">
      <c r="A169" s="75"/>
    </row>
    <row r="170">
      <c r="A170" s="75"/>
    </row>
    <row r="171">
      <c r="A171" s="75"/>
    </row>
    <row r="172">
      <c r="A172" s="75"/>
    </row>
    <row r="173">
      <c r="A173" s="75"/>
    </row>
    <row r="174">
      <c r="A174" s="75"/>
    </row>
    <row r="175">
      <c r="A175" s="75"/>
    </row>
    <row r="176">
      <c r="A176" s="75"/>
    </row>
    <row r="177">
      <c r="A177" s="75"/>
    </row>
    <row r="178">
      <c r="A178" s="75"/>
    </row>
    <row r="179">
      <c r="A179" s="75"/>
    </row>
    <row r="180">
      <c r="A180" s="75"/>
    </row>
    <row r="181">
      <c r="A181" s="75"/>
    </row>
    <row r="182">
      <c r="A182" s="75"/>
    </row>
    <row r="183">
      <c r="A183" s="75"/>
    </row>
    <row r="184">
      <c r="A184" s="75"/>
    </row>
    <row r="185">
      <c r="A185" s="75"/>
    </row>
    <row r="186">
      <c r="A186" s="75"/>
    </row>
    <row r="187">
      <c r="A187" s="75"/>
    </row>
    <row r="188">
      <c r="A188" s="75"/>
    </row>
    <row r="189">
      <c r="A189" s="75"/>
    </row>
    <row r="190">
      <c r="A190" s="75"/>
    </row>
    <row r="191">
      <c r="A191" s="75"/>
    </row>
    <row r="192">
      <c r="A192" s="75"/>
    </row>
    <row r="193">
      <c r="A193" s="75"/>
    </row>
    <row r="194">
      <c r="A194" s="75"/>
    </row>
    <row r="195">
      <c r="A195" s="75"/>
    </row>
    <row r="196">
      <c r="A196" s="75"/>
    </row>
    <row r="197">
      <c r="A197" s="75"/>
    </row>
    <row r="198">
      <c r="A198" s="75"/>
    </row>
    <row r="199">
      <c r="A199" s="75"/>
    </row>
    <row r="200">
      <c r="A200" s="75"/>
    </row>
    <row r="201">
      <c r="A201" s="75"/>
    </row>
    <row r="202">
      <c r="A202" s="75"/>
    </row>
    <row r="203">
      <c r="A203" s="75"/>
    </row>
    <row r="204">
      <c r="A204" s="75"/>
    </row>
    <row r="205">
      <c r="A205" s="75"/>
    </row>
    <row r="206">
      <c r="A206" s="75"/>
    </row>
    <row r="207">
      <c r="A207" s="75"/>
    </row>
    <row r="208">
      <c r="A208" s="75"/>
    </row>
    <row r="209">
      <c r="A209" s="75"/>
    </row>
    <row r="210">
      <c r="A210" s="75"/>
    </row>
    <row r="211">
      <c r="A211" s="75"/>
    </row>
    <row r="212">
      <c r="A212" s="75"/>
    </row>
    <row r="213">
      <c r="A213" s="75"/>
    </row>
    <row r="214">
      <c r="A214" s="75"/>
    </row>
    <row r="215">
      <c r="A215" s="75"/>
    </row>
    <row r="216">
      <c r="A216" s="75"/>
    </row>
    <row r="217">
      <c r="A217" s="75"/>
    </row>
    <row r="218">
      <c r="A218" s="75"/>
    </row>
    <row r="219">
      <c r="A219" s="75"/>
    </row>
    <row r="220">
      <c r="A220" s="75"/>
    </row>
    <row r="221">
      <c r="A221" s="75"/>
    </row>
    <row r="222">
      <c r="A222" s="75"/>
    </row>
    <row r="223">
      <c r="A223" s="75"/>
    </row>
    <row r="224">
      <c r="A224" s="75"/>
    </row>
    <row r="225">
      <c r="A225" s="75"/>
    </row>
    <row r="226">
      <c r="A226" s="75"/>
    </row>
    <row r="227">
      <c r="A227" s="75"/>
    </row>
    <row r="228">
      <c r="A228" s="75"/>
    </row>
    <row r="229">
      <c r="A229" s="75"/>
    </row>
    <row r="230">
      <c r="A230" s="75"/>
    </row>
    <row r="231">
      <c r="A231" s="75"/>
    </row>
    <row r="232">
      <c r="A232" s="75"/>
    </row>
    <row r="233">
      <c r="A233" s="75"/>
    </row>
    <row r="234">
      <c r="A234" s="75"/>
    </row>
    <row r="235">
      <c r="A235" s="75"/>
    </row>
    <row r="236">
      <c r="A236" s="75"/>
    </row>
    <row r="237">
      <c r="A237" s="75"/>
    </row>
    <row r="238">
      <c r="A238" s="75"/>
    </row>
    <row r="239">
      <c r="A239" s="75"/>
    </row>
    <row r="240">
      <c r="A240" s="75"/>
    </row>
    <row r="241">
      <c r="A241" s="75"/>
    </row>
    <row r="242">
      <c r="A242" s="75"/>
    </row>
    <row r="243">
      <c r="A243" s="75"/>
    </row>
    <row r="244">
      <c r="A244" s="75"/>
    </row>
    <row r="245">
      <c r="A245" s="75"/>
    </row>
    <row r="246">
      <c r="A246" s="75"/>
    </row>
    <row r="247">
      <c r="A247" s="75"/>
    </row>
    <row r="248">
      <c r="A248" s="75"/>
    </row>
    <row r="249">
      <c r="A249" s="75"/>
    </row>
    <row r="250">
      <c r="A250" s="75"/>
    </row>
    <row r="251">
      <c r="A251" s="75"/>
    </row>
    <row r="252">
      <c r="A252" s="75"/>
    </row>
    <row r="253">
      <c r="A253" s="75"/>
    </row>
    <row r="254">
      <c r="A254" s="75"/>
    </row>
    <row r="255">
      <c r="A255" s="75"/>
    </row>
    <row r="256">
      <c r="A256" s="75"/>
    </row>
    <row r="257">
      <c r="A257" s="75"/>
    </row>
    <row r="258">
      <c r="A258" s="75"/>
    </row>
    <row r="259">
      <c r="A259" s="75"/>
    </row>
    <row r="260">
      <c r="A260" s="75"/>
    </row>
    <row r="261">
      <c r="A261" s="75"/>
    </row>
    <row r="262">
      <c r="A262" s="75"/>
    </row>
    <row r="263">
      <c r="A263" s="75"/>
    </row>
    <row r="264">
      <c r="A264" s="75"/>
    </row>
    <row r="265">
      <c r="A265" s="75"/>
    </row>
    <row r="266">
      <c r="A266" s="75"/>
    </row>
    <row r="267">
      <c r="A267" s="75"/>
    </row>
    <row r="268">
      <c r="A268" s="75"/>
    </row>
    <row r="269">
      <c r="A269" s="75"/>
    </row>
    <row r="270">
      <c r="A270" s="75"/>
    </row>
    <row r="271">
      <c r="A271" s="75"/>
    </row>
    <row r="272">
      <c r="A272" s="75"/>
    </row>
    <row r="273">
      <c r="A273" s="75"/>
    </row>
    <row r="274">
      <c r="A274" s="75"/>
    </row>
    <row r="275">
      <c r="A275" s="75"/>
    </row>
    <row r="276">
      <c r="A276" s="75"/>
    </row>
    <row r="277">
      <c r="A277" s="75"/>
    </row>
    <row r="278">
      <c r="A278" s="75"/>
    </row>
    <row r="279">
      <c r="A279" s="75"/>
    </row>
    <row r="280">
      <c r="A280" s="75"/>
    </row>
    <row r="281">
      <c r="A281" s="75"/>
    </row>
    <row r="282">
      <c r="A282" s="75"/>
    </row>
    <row r="283">
      <c r="A283" s="75"/>
    </row>
    <row r="284">
      <c r="A284" s="75"/>
    </row>
    <row r="285">
      <c r="A285" s="75"/>
    </row>
    <row r="286">
      <c r="A286" s="75"/>
    </row>
    <row r="287">
      <c r="A287" s="75"/>
    </row>
    <row r="288">
      <c r="A288" s="75"/>
    </row>
    <row r="289">
      <c r="A289" s="75"/>
    </row>
    <row r="290">
      <c r="A290" s="75"/>
    </row>
    <row r="291">
      <c r="A291" s="75"/>
    </row>
    <row r="292">
      <c r="A292" s="75"/>
    </row>
    <row r="293">
      <c r="A293" s="75"/>
    </row>
    <row r="294">
      <c r="A294" s="75"/>
    </row>
    <row r="295">
      <c r="A295" s="75"/>
    </row>
    <row r="296">
      <c r="A296" s="75"/>
    </row>
    <row r="297">
      <c r="A297" s="75"/>
    </row>
    <row r="298">
      <c r="A298" s="75"/>
    </row>
    <row r="299">
      <c r="A299" s="75"/>
    </row>
    <row r="300">
      <c r="A300" s="75"/>
    </row>
    <row r="301">
      <c r="A301" s="75"/>
    </row>
    <row r="302">
      <c r="A302" s="75"/>
    </row>
    <row r="303">
      <c r="A303" s="75"/>
    </row>
    <row r="304">
      <c r="A304" s="75"/>
    </row>
    <row r="305">
      <c r="A305" s="75"/>
    </row>
    <row r="306">
      <c r="A306" s="75"/>
    </row>
    <row r="307">
      <c r="A307" s="75"/>
    </row>
    <row r="308">
      <c r="A308" s="75"/>
    </row>
    <row r="309">
      <c r="A309" s="75"/>
    </row>
    <row r="310">
      <c r="A310" s="75"/>
    </row>
    <row r="311">
      <c r="A311" s="75"/>
    </row>
    <row r="312">
      <c r="A312" s="75"/>
    </row>
    <row r="313">
      <c r="A313" s="75"/>
    </row>
    <row r="314">
      <c r="A314" s="75"/>
    </row>
    <row r="315">
      <c r="A315" s="75"/>
    </row>
    <row r="316">
      <c r="A316" s="75"/>
    </row>
    <row r="317">
      <c r="A317" s="75"/>
    </row>
    <row r="318">
      <c r="A318" s="75"/>
    </row>
    <row r="319">
      <c r="A319" s="75"/>
    </row>
    <row r="320">
      <c r="A320" s="75"/>
    </row>
    <row r="321">
      <c r="A321" s="75"/>
    </row>
    <row r="322">
      <c r="A322" s="75"/>
    </row>
    <row r="323">
      <c r="A323" s="75"/>
    </row>
    <row r="324">
      <c r="A324" s="75"/>
    </row>
    <row r="325">
      <c r="A325" s="75"/>
    </row>
    <row r="326">
      <c r="A326" s="75"/>
    </row>
    <row r="327">
      <c r="A327" s="75"/>
    </row>
    <row r="328">
      <c r="A328" s="75"/>
    </row>
    <row r="329">
      <c r="A329" s="75"/>
    </row>
    <row r="330">
      <c r="A330" s="75"/>
    </row>
    <row r="331">
      <c r="A331" s="75"/>
    </row>
    <row r="332">
      <c r="A332" s="75"/>
    </row>
    <row r="333">
      <c r="A333" s="75"/>
    </row>
    <row r="334">
      <c r="A334" s="75"/>
    </row>
    <row r="335">
      <c r="A335" s="75"/>
    </row>
    <row r="336">
      <c r="A336" s="75"/>
    </row>
    <row r="337">
      <c r="A337" s="75"/>
    </row>
    <row r="338">
      <c r="A338" s="75"/>
    </row>
    <row r="339">
      <c r="A339" s="75"/>
    </row>
    <row r="340">
      <c r="A340" s="75"/>
    </row>
    <row r="341">
      <c r="A341" s="75"/>
    </row>
    <row r="342">
      <c r="A342" s="75"/>
    </row>
    <row r="343">
      <c r="A343" s="75"/>
    </row>
    <row r="344">
      <c r="A344" s="75"/>
    </row>
    <row r="345">
      <c r="A345" s="75"/>
    </row>
    <row r="346">
      <c r="A346" s="75"/>
    </row>
    <row r="347">
      <c r="A347" s="75"/>
    </row>
    <row r="348">
      <c r="A348" s="75"/>
    </row>
    <row r="349">
      <c r="A349" s="75"/>
    </row>
    <row r="350">
      <c r="A350" s="75"/>
    </row>
    <row r="351">
      <c r="A351" s="75"/>
    </row>
    <row r="352">
      <c r="A352" s="75"/>
    </row>
    <row r="353">
      <c r="A353" s="75"/>
    </row>
    <row r="354">
      <c r="A354" s="75"/>
    </row>
    <row r="355">
      <c r="A355" s="75"/>
    </row>
    <row r="356">
      <c r="A356" s="75"/>
    </row>
    <row r="357">
      <c r="A357" s="75"/>
    </row>
    <row r="358">
      <c r="A358" s="75"/>
    </row>
    <row r="359">
      <c r="A359" s="75"/>
    </row>
    <row r="360">
      <c r="A360" s="75"/>
    </row>
    <row r="361">
      <c r="A361" s="75"/>
    </row>
    <row r="362">
      <c r="A362" s="75"/>
    </row>
    <row r="363">
      <c r="A363" s="75"/>
    </row>
    <row r="364">
      <c r="A364" s="75"/>
    </row>
    <row r="365">
      <c r="A365" s="75"/>
    </row>
    <row r="366">
      <c r="A366" s="75"/>
    </row>
    <row r="367">
      <c r="A367" s="75"/>
    </row>
    <row r="368">
      <c r="A368" s="75"/>
    </row>
    <row r="369">
      <c r="A369" s="75"/>
    </row>
    <row r="370">
      <c r="A370" s="75"/>
    </row>
    <row r="371">
      <c r="A371" s="75"/>
    </row>
    <row r="372">
      <c r="A372" s="75"/>
    </row>
    <row r="373">
      <c r="A373" s="75"/>
    </row>
    <row r="374">
      <c r="A374" s="75"/>
    </row>
    <row r="375">
      <c r="A375" s="75"/>
    </row>
    <row r="376">
      <c r="A376" s="75"/>
    </row>
    <row r="377">
      <c r="A377" s="75"/>
    </row>
    <row r="378">
      <c r="A378" s="75"/>
    </row>
    <row r="379">
      <c r="A379" s="75"/>
    </row>
    <row r="380">
      <c r="A380" s="75"/>
    </row>
    <row r="381">
      <c r="A381" s="75"/>
    </row>
    <row r="382">
      <c r="A382" s="75"/>
    </row>
    <row r="383">
      <c r="A383" s="75"/>
    </row>
    <row r="384">
      <c r="A384" s="75"/>
    </row>
    <row r="385">
      <c r="A385" s="75"/>
    </row>
    <row r="386">
      <c r="A386" s="75"/>
    </row>
    <row r="387">
      <c r="A387" s="75"/>
    </row>
    <row r="388">
      <c r="A388" s="75"/>
    </row>
    <row r="389">
      <c r="A389" s="75"/>
    </row>
    <row r="390">
      <c r="A390" s="75"/>
    </row>
    <row r="391">
      <c r="A391" s="75"/>
    </row>
    <row r="392">
      <c r="A392" s="75"/>
    </row>
    <row r="393">
      <c r="A393" s="75"/>
    </row>
    <row r="394">
      <c r="A394" s="75"/>
    </row>
    <row r="395">
      <c r="A395" s="75"/>
    </row>
    <row r="396">
      <c r="A396" s="75"/>
    </row>
    <row r="397">
      <c r="A397" s="75"/>
    </row>
    <row r="398">
      <c r="A398" s="75"/>
    </row>
    <row r="399">
      <c r="A399" s="75"/>
    </row>
    <row r="400">
      <c r="A400" s="75"/>
    </row>
    <row r="401">
      <c r="A401" s="75"/>
    </row>
    <row r="402">
      <c r="A402" s="75"/>
    </row>
    <row r="403">
      <c r="A403" s="75"/>
    </row>
    <row r="404">
      <c r="A404" s="75"/>
    </row>
    <row r="405">
      <c r="A405" s="75"/>
    </row>
    <row r="406">
      <c r="A406" s="75"/>
    </row>
    <row r="407">
      <c r="A407" s="75"/>
    </row>
    <row r="408">
      <c r="A408" s="75"/>
    </row>
    <row r="409">
      <c r="A409" s="75"/>
    </row>
    <row r="410">
      <c r="A410" s="75"/>
    </row>
    <row r="411">
      <c r="A411" s="75"/>
    </row>
    <row r="412">
      <c r="A412" s="75"/>
    </row>
    <row r="413">
      <c r="A413" s="75"/>
    </row>
    <row r="414">
      <c r="A414" s="75"/>
    </row>
    <row r="415">
      <c r="A415" s="75"/>
    </row>
    <row r="416">
      <c r="A416" s="75"/>
    </row>
    <row r="417">
      <c r="A417" s="75"/>
    </row>
    <row r="418">
      <c r="A418" s="75"/>
    </row>
    <row r="419">
      <c r="A419" s="75"/>
    </row>
    <row r="420">
      <c r="A420" s="75"/>
    </row>
    <row r="421">
      <c r="A421" s="75"/>
    </row>
    <row r="422">
      <c r="A422" s="75"/>
    </row>
    <row r="423">
      <c r="A423" s="75"/>
    </row>
    <row r="424">
      <c r="A424" s="75"/>
    </row>
    <row r="425">
      <c r="A425" s="75"/>
    </row>
    <row r="426">
      <c r="A426" s="75"/>
    </row>
    <row r="427">
      <c r="A427" s="75"/>
    </row>
    <row r="428">
      <c r="A428" s="75"/>
    </row>
    <row r="429">
      <c r="A429" s="75"/>
    </row>
    <row r="430">
      <c r="A430" s="75"/>
    </row>
    <row r="431">
      <c r="A431" s="75"/>
    </row>
    <row r="432">
      <c r="A432" s="75"/>
    </row>
    <row r="433">
      <c r="A433" s="75"/>
    </row>
    <row r="434">
      <c r="A434" s="75"/>
    </row>
    <row r="435">
      <c r="A435" s="75"/>
    </row>
    <row r="436">
      <c r="A436" s="75"/>
    </row>
    <row r="437">
      <c r="A437" s="75"/>
    </row>
    <row r="438">
      <c r="A438" s="75"/>
    </row>
    <row r="439">
      <c r="A439" s="75"/>
    </row>
    <row r="440">
      <c r="A440" s="75"/>
    </row>
    <row r="441">
      <c r="A441" s="75"/>
    </row>
    <row r="442">
      <c r="A442" s="75"/>
    </row>
    <row r="443">
      <c r="A443" s="75"/>
    </row>
    <row r="444">
      <c r="A444" s="75"/>
    </row>
    <row r="445">
      <c r="A445" s="75"/>
    </row>
    <row r="446">
      <c r="A446" s="75"/>
    </row>
    <row r="447">
      <c r="A447" s="75"/>
    </row>
    <row r="448">
      <c r="A448" s="75"/>
    </row>
    <row r="449">
      <c r="A449" s="75"/>
    </row>
    <row r="450">
      <c r="A450" s="75"/>
    </row>
    <row r="451">
      <c r="A451" s="75"/>
    </row>
    <row r="452">
      <c r="A452" s="75"/>
    </row>
    <row r="453">
      <c r="A453" s="75"/>
    </row>
    <row r="454">
      <c r="A454" s="75"/>
    </row>
    <row r="455">
      <c r="A455" s="75"/>
    </row>
    <row r="456">
      <c r="A456" s="75"/>
    </row>
    <row r="457">
      <c r="A457" s="75"/>
    </row>
    <row r="458">
      <c r="A458" s="75"/>
    </row>
    <row r="459">
      <c r="A459" s="75"/>
    </row>
    <row r="460">
      <c r="A460" s="75"/>
    </row>
    <row r="461">
      <c r="A461" s="75"/>
    </row>
    <row r="462">
      <c r="A462" s="75"/>
    </row>
    <row r="463">
      <c r="A463" s="75"/>
    </row>
    <row r="464">
      <c r="A464" s="75"/>
    </row>
    <row r="465">
      <c r="A465" s="75"/>
    </row>
    <row r="466">
      <c r="A466" s="75"/>
    </row>
    <row r="467">
      <c r="A467" s="75"/>
    </row>
    <row r="468">
      <c r="A468" s="75"/>
    </row>
    <row r="469">
      <c r="A469" s="75"/>
    </row>
    <row r="470">
      <c r="A470" s="75"/>
    </row>
    <row r="471">
      <c r="A471" s="75"/>
    </row>
    <row r="472">
      <c r="A472" s="75"/>
    </row>
    <row r="473">
      <c r="A473" s="75"/>
    </row>
    <row r="474">
      <c r="A474" s="75"/>
    </row>
    <row r="475">
      <c r="A475" s="75"/>
    </row>
    <row r="476">
      <c r="A476" s="75"/>
    </row>
    <row r="477">
      <c r="A477" s="75"/>
    </row>
    <row r="478">
      <c r="A478" s="75"/>
    </row>
    <row r="479">
      <c r="A479" s="75"/>
    </row>
    <row r="480">
      <c r="A480" s="75"/>
    </row>
    <row r="481">
      <c r="A481" s="75"/>
    </row>
    <row r="482">
      <c r="A482" s="75"/>
    </row>
    <row r="483">
      <c r="A483" s="75"/>
    </row>
    <row r="484">
      <c r="A484" s="75"/>
    </row>
    <row r="485">
      <c r="A485" s="75"/>
    </row>
    <row r="486">
      <c r="A486" s="75"/>
    </row>
    <row r="487">
      <c r="A487" s="75"/>
    </row>
    <row r="488">
      <c r="A488" s="75"/>
    </row>
    <row r="489">
      <c r="A489" s="75"/>
    </row>
    <row r="490">
      <c r="A490" s="75"/>
    </row>
    <row r="491">
      <c r="A491" s="75"/>
    </row>
    <row r="492">
      <c r="A492" s="75"/>
    </row>
    <row r="493">
      <c r="A493" s="75"/>
    </row>
    <row r="494">
      <c r="A494" s="75"/>
    </row>
    <row r="495">
      <c r="A495" s="75"/>
    </row>
    <row r="496">
      <c r="A496" s="75"/>
    </row>
    <row r="497">
      <c r="A497" s="75"/>
    </row>
    <row r="498">
      <c r="A498" s="75"/>
    </row>
    <row r="499">
      <c r="A499" s="75"/>
    </row>
    <row r="500">
      <c r="A500" s="75"/>
    </row>
    <row r="501">
      <c r="A501" s="75"/>
    </row>
    <row r="502">
      <c r="A502" s="75"/>
    </row>
    <row r="503">
      <c r="A503" s="75"/>
    </row>
    <row r="504">
      <c r="A504" s="75"/>
    </row>
    <row r="505">
      <c r="A505" s="75"/>
    </row>
    <row r="506">
      <c r="A506" s="75"/>
    </row>
    <row r="507">
      <c r="A507" s="75"/>
    </row>
    <row r="508">
      <c r="A508" s="75"/>
    </row>
    <row r="509">
      <c r="A509" s="75"/>
    </row>
    <row r="510">
      <c r="A510" s="75"/>
    </row>
    <row r="511">
      <c r="A511" s="75"/>
    </row>
    <row r="512">
      <c r="A512" s="75"/>
    </row>
    <row r="513">
      <c r="A513" s="75"/>
    </row>
    <row r="514">
      <c r="A514" s="75"/>
    </row>
    <row r="515">
      <c r="A515" s="75"/>
    </row>
    <row r="516">
      <c r="A516" s="75"/>
    </row>
    <row r="517">
      <c r="A517" s="75"/>
    </row>
    <row r="518">
      <c r="A518" s="75"/>
    </row>
    <row r="519">
      <c r="A519" s="75"/>
    </row>
    <row r="520">
      <c r="A520" s="75"/>
    </row>
    <row r="521">
      <c r="A521" s="75"/>
    </row>
    <row r="522">
      <c r="A522" s="75"/>
    </row>
    <row r="523">
      <c r="A523" s="75"/>
    </row>
    <row r="524">
      <c r="A524" s="75"/>
    </row>
    <row r="525">
      <c r="A525" s="75"/>
    </row>
    <row r="526">
      <c r="A526" s="75"/>
    </row>
    <row r="527">
      <c r="A527" s="75"/>
    </row>
    <row r="528">
      <c r="A528" s="75"/>
    </row>
    <row r="529">
      <c r="A529" s="75"/>
    </row>
    <row r="530">
      <c r="A530" s="75"/>
    </row>
    <row r="531">
      <c r="A531" s="75"/>
    </row>
    <row r="532">
      <c r="A532" s="75"/>
    </row>
    <row r="533">
      <c r="A533" s="75"/>
    </row>
    <row r="534">
      <c r="A534" s="75"/>
    </row>
    <row r="535">
      <c r="A535" s="75"/>
    </row>
    <row r="536">
      <c r="A536" s="75"/>
    </row>
    <row r="537">
      <c r="A537" s="75"/>
    </row>
    <row r="538">
      <c r="A538" s="75"/>
    </row>
    <row r="539">
      <c r="A539" s="75"/>
    </row>
    <row r="540">
      <c r="A540" s="75"/>
    </row>
    <row r="541">
      <c r="A541" s="75"/>
    </row>
    <row r="542">
      <c r="A542" s="75"/>
    </row>
    <row r="543">
      <c r="A543" s="75"/>
    </row>
    <row r="544">
      <c r="A544" s="75"/>
    </row>
    <row r="545">
      <c r="A545" s="75"/>
    </row>
    <row r="546">
      <c r="A546" s="75"/>
    </row>
    <row r="547">
      <c r="A547" s="75"/>
    </row>
    <row r="548">
      <c r="A548" s="75"/>
    </row>
    <row r="549">
      <c r="A549" s="75"/>
    </row>
    <row r="550">
      <c r="A550" s="75"/>
    </row>
    <row r="551">
      <c r="A551" s="75"/>
    </row>
    <row r="552">
      <c r="A552" s="75"/>
    </row>
    <row r="553">
      <c r="A553" s="75"/>
    </row>
    <row r="554">
      <c r="A554" s="75"/>
    </row>
    <row r="555">
      <c r="A555" s="75"/>
    </row>
    <row r="556">
      <c r="A556" s="75"/>
    </row>
    <row r="557">
      <c r="A557" s="75"/>
    </row>
    <row r="558">
      <c r="A558" s="75"/>
    </row>
    <row r="559">
      <c r="A559" s="75"/>
    </row>
    <row r="560">
      <c r="A560" s="75"/>
    </row>
    <row r="561">
      <c r="A561" s="75"/>
    </row>
    <row r="562">
      <c r="A562" s="75"/>
    </row>
    <row r="563">
      <c r="A563" s="75"/>
    </row>
    <row r="564">
      <c r="A564" s="75"/>
    </row>
    <row r="565">
      <c r="A565" s="75"/>
    </row>
    <row r="566">
      <c r="A566" s="75"/>
    </row>
    <row r="567">
      <c r="A567" s="75"/>
    </row>
    <row r="568">
      <c r="A568" s="75"/>
    </row>
    <row r="569">
      <c r="A569" s="75"/>
    </row>
    <row r="570">
      <c r="A570" s="75"/>
    </row>
    <row r="571">
      <c r="A571" s="75"/>
    </row>
    <row r="572">
      <c r="A572" s="75"/>
    </row>
    <row r="573">
      <c r="A573" s="75"/>
    </row>
    <row r="574">
      <c r="A574" s="75"/>
    </row>
    <row r="575">
      <c r="A575" s="75"/>
    </row>
    <row r="576">
      <c r="A576" s="75"/>
    </row>
    <row r="577">
      <c r="A577" s="75"/>
    </row>
    <row r="578">
      <c r="A578" s="75"/>
    </row>
    <row r="579">
      <c r="A579" s="75"/>
    </row>
    <row r="580">
      <c r="A580" s="75"/>
    </row>
    <row r="581">
      <c r="A581" s="75"/>
    </row>
    <row r="582">
      <c r="A582" s="75"/>
    </row>
    <row r="583">
      <c r="A583" s="75"/>
    </row>
    <row r="584">
      <c r="A584" s="75"/>
    </row>
    <row r="585">
      <c r="A585" s="75"/>
    </row>
    <row r="586">
      <c r="A586" s="75"/>
    </row>
    <row r="587">
      <c r="A587" s="75"/>
    </row>
    <row r="588">
      <c r="A588" s="75"/>
    </row>
    <row r="589">
      <c r="A589" s="75"/>
    </row>
    <row r="590">
      <c r="A590" s="75"/>
    </row>
    <row r="591">
      <c r="A591" s="75"/>
    </row>
    <row r="592">
      <c r="A592" s="75"/>
    </row>
    <row r="593">
      <c r="A593" s="75"/>
    </row>
    <row r="594">
      <c r="A594" s="75"/>
    </row>
    <row r="595">
      <c r="A595" s="75"/>
    </row>
    <row r="596">
      <c r="A596" s="75"/>
    </row>
    <row r="597">
      <c r="A597" s="75"/>
    </row>
    <row r="598">
      <c r="A598" s="75"/>
    </row>
    <row r="599">
      <c r="A599" s="75"/>
    </row>
    <row r="600">
      <c r="A600" s="75"/>
    </row>
    <row r="601">
      <c r="A601" s="75"/>
    </row>
    <row r="602">
      <c r="A602" s="75"/>
    </row>
    <row r="603">
      <c r="A603" s="75"/>
    </row>
    <row r="604">
      <c r="A604" s="75"/>
    </row>
    <row r="605">
      <c r="A605" s="75"/>
    </row>
    <row r="606">
      <c r="A606" s="75"/>
    </row>
    <row r="607">
      <c r="A607" s="75"/>
    </row>
    <row r="608">
      <c r="A608" s="75"/>
    </row>
    <row r="609">
      <c r="A609" s="75"/>
    </row>
    <row r="610">
      <c r="A610" s="75"/>
    </row>
    <row r="611">
      <c r="A611" s="75"/>
    </row>
    <row r="612">
      <c r="A612" s="75"/>
    </row>
    <row r="613">
      <c r="A613" s="75"/>
    </row>
    <row r="614">
      <c r="A614" s="75"/>
    </row>
    <row r="615">
      <c r="A615" s="75"/>
    </row>
    <row r="616">
      <c r="A616" s="75"/>
    </row>
    <row r="617">
      <c r="A617" s="75"/>
    </row>
    <row r="618">
      <c r="A618" s="75"/>
    </row>
    <row r="619">
      <c r="A619" s="75"/>
    </row>
    <row r="620">
      <c r="A620" s="75"/>
    </row>
    <row r="621">
      <c r="A621" s="75"/>
    </row>
    <row r="622">
      <c r="A622" s="75"/>
    </row>
    <row r="623">
      <c r="A623" s="75"/>
    </row>
    <row r="624">
      <c r="A624" s="75"/>
    </row>
    <row r="625">
      <c r="A625" s="75"/>
    </row>
    <row r="626">
      <c r="A626" s="75"/>
    </row>
    <row r="627">
      <c r="A627" s="75"/>
    </row>
    <row r="628">
      <c r="A628" s="75"/>
    </row>
    <row r="629">
      <c r="A629" s="75"/>
    </row>
    <row r="630">
      <c r="A630" s="75"/>
    </row>
    <row r="631">
      <c r="A631" s="75"/>
    </row>
    <row r="632">
      <c r="A632" s="75"/>
    </row>
    <row r="633">
      <c r="A633" s="75"/>
    </row>
    <row r="634">
      <c r="A634" s="75"/>
    </row>
    <row r="635">
      <c r="A635" s="75"/>
    </row>
    <row r="636">
      <c r="A636" s="75"/>
    </row>
    <row r="637">
      <c r="A637" s="75"/>
    </row>
    <row r="638">
      <c r="A638" s="75"/>
    </row>
    <row r="639">
      <c r="A639" s="75"/>
    </row>
    <row r="640">
      <c r="A640" s="75"/>
    </row>
    <row r="641">
      <c r="A641" s="75"/>
    </row>
    <row r="642">
      <c r="A642" s="75"/>
    </row>
    <row r="643">
      <c r="A643" s="75"/>
    </row>
    <row r="644">
      <c r="A644" s="75"/>
    </row>
    <row r="645">
      <c r="A645" s="75"/>
    </row>
    <row r="646">
      <c r="A646" s="75"/>
    </row>
    <row r="647">
      <c r="A647" s="75"/>
    </row>
    <row r="648">
      <c r="A648" s="75"/>
    </row>
    <row r="649">
      <c r="A649" s="75"/>
    </row>
    <row r="650">
      <c r="A650" s="75"/>
    </row>
    <row r="651">
      <c r="A651" s="75"/>
    </row>
    <row r="652">
      <c r="A652" s="75"/>
    </row>
    <row r="653">
      <c r="A653" s="75"/>
    </row>
    <row r="654">
      <c r="A654" s="75"/>
    </row>
    <row r="655">
      <c r="A655" s="75"/>
    </row>
    <row r="656">
      <c r="A656" s="75"/>
    </row>
    <row r="657">
      <c r="A657" s="75"/>
    </row>
    <row r="658">
      <c r="A658" s="75"/>
    </row>
    <row r="659">
      <c r="A659" s="75"/>
    </row>
    <row r="660">
      <c r="A660" s="75"/>
    </row>
    <row r="661">
      <c r="A661" s="75"/>
    </row>
    <row r="662">
      <c r="A662" s="75"/>
    </row>
    <row r="663">
      <c r="A663" s="75"/>
    </row>
    <row r="664">
      <c r="A664" s="75"/>
    </row>
    <row r="665">
      <c r="A665" s="75"/>
    </row>
    <row r="666">
      <c r="A666" s="75"/>
    </row>
    <row r="667">
      <c r="A667" s="75"/>
    </row>
    <row r="668">
      <c r="A668" s="75"/>
    </row>
    <row r="669">
      <c r="A669" s="75"/>
    </row>
    <row r="670">
      <c r="A670" s="75"/>
    </row>
    <row r="671">
      <c r="A671" s="75"/>
    </row>
    <row r="672">
      <c r="A672" s="75"/>
    </row>
    <row r="673">
      <c r="A673" s="75"/>
    </row>
    <row r="674">
      <c r="A674" s="75"/>
    </row>
    <row r="675">
      <c r="A675" s="75"/>
    </row>
    <row r="676">
      <c r="A676" s="75"/>
    </row>
    <row r="677">
      <c r="A677" s="75"/>
    </row>
    <row r="678">
      <c r="A678" s="75"/>
    </row>
    <row r="679">
      <c r="A679" s="75"/>
    </row>
    <row r="680">
      <c r="A680" s="75"/>
    </row>
    <row r="681">
      <c r="A681" s="75"/>
    </row>
    <row r="682">
      <c r="A682" s="75"/>
    </row>
    <row r="683">
      <c r="A683" s="75"/>
    </row>
    <row r="684">
      <c r="A684" s="75"/>
    </row>
    <row r="685">
      <c r="A685" s="75"/>
    </row>
    <row r="686">
      <c r="A686" s="75"/>
    </row>
    <row r="687">
      <c r="A687" s="75"/>
    </row>
    <row r="688">
      <c r="A688" s="75"/>
    </row>
    <row r="689">
      <c r="A689" s="75"/>
    </row>
    <row r="690">
      <c r="A690" s="75"/>
    </row>
    <row r="691">
      <c r="A691" s="75"/>
    </row>
    <row r="692">
      <c r="A692" s="75"/>
    </row>
    <row r="693">
      <c r="A693" s="75"/>
    </row>
    <row r="694">
      <c r="A694" s="75"/>
    </row>
    <row r="695">
      <c r="A695" s="75"/>
    </row>
    <row r="696">
      <c r="A696" s="75"/>
    </row>
    <row r="697">
      <c r="A697" s="75"/>
    </row>
    <row r="698">
      <c r="A698" s="75"/>
    </row>
    <row r="699">
      <c r="A699" s="75"/>
    </row>
    <row r="700">
      <c r="A700" s="75"/>
    </row>
    <row r="701">
      <c r="A701" s="75"/>
    </row>
    <row r="702">
      <c r="A702" s="75"/>
    </row>
    <row r="703">
      <c r="A703" s="75"/>
    </row>
    <row r="704">
      <c r="A704" s="75"/>
    </row>
    <row r="705">
      <c r="A705" s="75"/>
    </row>
    <row r="706">
      <c r="A706" s="75"/>
    </row>
    <row r="707">
      <c r="A707" s="75"/>
    </row>
    <row r="708">
      <c r="A708" s="75"/>
    </row>
    <row r="709">
      <c r="A709" s="75"/>
    </row>
    <row r="710">
      <c r="A710" s="75"/>
    </row>
    <row r="711">
      <c r="A711" s="75"/>
    </row>
    <row r="712">
      <c r="A712" s="75"/>
    </row>
    <row r="713">
      <c r="A713" s="75"/>
    </row>
    <row r="714">
      <c r="A714" s="75"/>
    </row>
    <row r="715">
      <c r="A715" s="75"/>
    </row>
    <row r="716">
      <c r="A716" s="75"/>
    </row>
    <row r="717">
      <c r="A717" s="75"/>
    </row>
    <row r="718">
      <c r="A718" s="75"/>
    </row>
    <row r="719">
      <c r="A719" s="75"/>
    </row>
    <row r="720">
      <c r="A720" s="75"/>
    </row>
    <row r="721">
      <c r="A721" s="75"/>
    </row>
    <row r="722">
      <c r="A722" s="75"/>
    </row>
    <row r="723">
      <c r="A723" s="75"/>
    </row>
    <row r="724">
      <c r="A724" s="75"/>
    </row>
    <row r="725">
      <c r="A725" s="75"/>
    </row>
    <row r="726">
      <c r="A726" s="75"/>
    </row>
    <row r="727">
      <c r="A727" s="75"/>
    </row>
    <row r="728">
      <c r="A728" s="75"/>
    </row>
    <row r="729">
      <c r="A729" s="75"/>
    </row>
    <row r="730">
      <c r="A730" s="75"/>
    </row>
    <row r="731">
      <c r="A731" s="75"/>
    </row>
    <row r="732">
      <c r="A732" s="75"/>
    </row>
    <row r="733">
      <c r="A733" s="75"/>
    </row>
    <row r="734">
      <c r="A734" s="75"/>
    </row>
    <row r="735">
      <c r="A735" s="75"/>
    </row>
    <row r="736">
      <c r="A736" s="75"/>
    </row>
    <row r="737">
      <c r="A737" s="75"/>
    </row>
    <row r="738">
      <c r="A738" s="75"/>
    </row>
    <row r="739">
      <c r="A739" s="75"/>
    </row>
    <row r="740">
      <c r="A740" s="75"/>
    </row>
    <row r="741">
      <c r="A741" s="75"/>
    </row>
    <row r="742">
      <c r="A742" s="75"/>
    </row>
    <row r="743">
      <c r="A743" s="75"/>
    </row>
    <row r="744">
      <c r="A744" s="75"/>
    </row>
    <row r="745">
      <c r="A745" s="75"/>
    </row>
    <row r="746">
      <c r="A746" s="75"/>
    </row>
    <row r="747">
      <c r="A747" s="75"/>
    </row>
    <row r="748">
      <c r="A748" s="75"/>
    </row>
    <row r="749">
      <c r="A749" s="75"/>
    </row>
    <row r="750">
      <c r="A750" s="75"/>
    </row>
    <row r="751">
      <c r="A751" s="75"/>
    </row>
    <row r="752">
      <c r="A752" s="75"/>
    </row>
    <row r="753">
      <c r="A753" s="75"/>
    </row>
    <row r="754">
      <c r="A754" s="75"/>
    </row>
    <row r="755">
      <c r="A755" s="75"/>
    </row>
    <row r="756">
      <c r="A756" s="75"/>
    </row>
    <row r="757">
      <c r="A757" s="75"/>
    </row>
    <row r="758">
      <c r="A758" s="75"/>
    </row>
    <row r="759">
      <c r="A759" s="75"/>
    </row>
    <row r="760">
      <c r="A760" s="75"/>
    </row>
    <row r="761">
      <c r="A761" s="75"/>
    </row>
    <row r="762">
      <c r="A762" s="75"/>
    </row>
    <row r="763">
      <c r="A763" s="75"/>
    </row>
    <row r="764">
      <c r="A764" s="75"/>
    </row>
    <row r="765">
      <c r="A765" s="75"/>
    </row>
    <row r="766">
      <c r="A766" s="75"/>
    </row>
    <row r="767">
      <c r="A767" s="75"/>
    </row>
    <row r="768">
      <c r="A768" s="75"/>
    </row>
    <row r="769">
      <c r="A769" s="75"/>
    </row>
    <row r="770">
      <c r="A770" s="75"/>
    </row>
    <row r="771">
      <c r="A771" s="75"/>
    </row>
    <row r="772">
      <c r="A772" s="75"/>
    </row>
    <row r="773">
      <c r="A773" s="75"/>
    </row>
    <row r="774">
      <c r="A774" s="75"/>
    </row>
    <row r="775">
      <c r="A775" s="75"/>
    </row>
    <row r="776">
      <c r="A776" s="75"/>
    </row>
    <row r="777">
      <c r="A777" s="75"/>
    </row>
    <row r="778">
      <c r="A778" s="75"/>
    </row>
    <row r="779">
      <c r="A779" s="75"/>
    </row>
    <row r="780">
      <c r="A780" s="75"/>
    </row>
    <row r="781">
      <c r="A781" s="75"/>
    </row>
    <row r="782">
      <c r="A782" s="75"/>
    </row>
    <row r="783">
      <c r="A783" s="75"/>
    </row>
    <row r="784">
      <c r="A784" s="75"/>
    </row>
    <row r="785">
      <c r="A785" s="75"/>
    </row>
    <row r="786">
      <c r="A786" s="75"/>
    </row>
    <row r="787">
      <c r="A787" s="75"/>
    </row>
    <row r="788">
      <c r="A788" s="75"/>
    </row>
    <row r="789">
      <c r="A789" s="75"/>
    </row>
    <row r="790">
      <c r="A790" s="75"/>
    </row>
    <row r="791">
      <c r="A791" s="75"/>
    </row>
    <row r="792">
      <c r="A792" s="75"/>
    </row>
    <row r="793">
      <c r="A793" s="75"/>
    </row>
    <row r="794">
      <c r="A794" s="75"/>
    </row>
    <row r="795">
      <c r="A795" s="75"/>
    </row>
    <row r="796">
      <c r="A796" s="75"/>
    </row>
    <row r="797">
      <c r="A797" s="75"/>
    </row>
    <row r="798">
      <c r="A798" s="75"/>
    </row>
    <row r="799">
      <c r="A799" s="75"/>
    </row>
    <row r="800">
      <c r="A800" s="75"/>
    </row>
    <row r="801">
      <c r="A801" s="75"/>
    </row>
    <row r="802">
      <c r="A802" s="75"/>
    </row>
    <row r="803">
      <c r="A803" s="75"/>
    </row>
    <row r="804">
      <c r="A804" s="75"/>
    </row>
    <row r="805">
      <c r="A805" s="75"/>
    </row>
    <row r="806">
      <c r="A806" s="75"/>
    </row>
    <row r="807">
      <c r="A807" s="75"/>
    </row>
    <row r="808">
      <c r="A808" s="75"/>
    </row>
    <row r="809">
      <c r="A809" s="75"/>
    </row>
    <row r="810">
      <c r="A810" s="75"/>
    </row>
    <row r="811">
      <c r="A811" s="75"/>
    </row>
    <row r="812">
      <c r="A812" s="75"/>
    </row>
    <row r="813">
      <c r="A813" s="75"/>
    </row>
    <row r="814">
      <c r="A814" s="75"/>
    </row>
    <row r="815">
      <c r="A815" s="75"/>
    </row>
    <row r="816">
      <c r="A816" s="75"/>
    </row>
    <row r="817">
      <c r="A817" s="75"/>
    </row>
    <row r="818">
      <c r="A818" s="75"/>
    </row>
    <row r="819">
      <c r="A819" s="75"/>
    </row>
    <row r="820">
      <c r="A820" s="75"/>
    </row>
    <row r="821">
      <c r="A821" s="75"/>
    </row>
    <row r="822">
      <c r="A822" s="75"/>
    </row>
    <row r="823">
      <c r="A823" s="75"/>
    </row>
    <row r="824">
      <c r="A824" s="75"/>
    </row>
    <row r="825">
      <c r="A825" s="75"/>
    </row>
    <row r="826">
      <c r="A826" s="75"/>
    </row>
    <row r="827">
      <c r="A827" s="75"/>
    </row>
    <row r="828">
      <c r="A828" s="75"/>
    </row>
    <row r="829">
      <c r="A829" s="75"/>
    </row>
    <row r="830">
      <c r="A830" s="75"/>
    </row>
    <row r="831">
      <c r="A831" s="75"/>
    </row>
    <row r="832">
      <c r="A832" s="75"/>
    </row>
    <row r="833">
      <c r="A833" s="75"/>
    </row>
    <row r="834">
      <c r="A834" s="75"/>
    </row>
    <row r="835">
      <c r="A835" s="75"/>
    </row>
    <row r="836">
      <c r="A836" s="75"/>
    </row>
    <row r="837">
      <c r="A837" s="75"/>
    </row>
    <row r="838">
      <c r="A838" s="75"/>
    </row>
    <row r="839">
      <c r="A839" s="75"/>
    </row>
    <row r="840">
      <c r="A840" s="75"/>
    </row>
    <row r="841">
      <c r="A841" s="75"/>
    </row>
    <row r="842">
      <c r="A842" s="75"/>
    </row>
    <row r="843">
      <c r="A843" s="75"/>
    </row>
    <row r="844">
      <c r="A844" s="75"/>
    </row>
    <row r="845">
      <c r="A845" s="75"/>
    </row>
    <row r="846">
      <c r="A846" s="75"/>
    </row>
    <row r="847">
      <c r="A847" s="75"/>
    </row>
    <row r="848">
      <c r="A848" s="75"/>
    </row>
    <row r="849">
      <c r="A849" s="75"/>
    </row>
    <row r="850">
      <c r="A850" s="75"/>
    </row>
    <row r="851">
      <c r="A851" s="75"/>
    </row>
    <row r="852">
      <c r="A852" s="75"/>
    </row>
    <row r="853">
      <c r="A853" s="75"/>
    </row>
    <row r="854">
      <c r="A854" s="75"/>
    </row>
    <row r="855">
      <c r="A855" s="75"/>
    </row>
    <row r="856">
      <c r="A856" s="75"/>
    </row>
    <row r="857">
      <c r="A857" s="75"/>
    </row>
    <row r="858">
      <c r="A858" s="75"/>
    </row>
    <row r="859">
      <c r="A859" s="75"/>
    </row>
    <row r="860">
      <c r="A860" s="75"/>
    </row>
    <row r="861">
      <c r="A861" s="75"/>
    </row>
    <row r="862">
      <c r="A862" s="75"/>
    </row>
    <row r="863">
      <c r="A863" s="75"/>
    </row>
    <row r="864">
      <c r="A864" s="75"/>
    </row>
    <row r="865">
      <c r="A865" s="75"/>
    </row>
    <row r="866">
      <c r="A866" s="75"/>
    </row>
    <row r="867">
      <c r="A867" s="75"/>
    </row>
    <row r="868">
      <c r="A868" s="75"/>
    </row>
    <row r="869">
      <c r="A869" s="75"/>
    </row>
    <row r="870">
      <c r="A870" s="75"/>
    </row>
    <row r="871">
      <c r="A871" s="75"/>
    </row>
    <row r="872">
      <c r="A872" s="75"/>
    </row>
    <row r="873">
      <c r="A873" s="75"/>
    </row>
    <row r="874">
      <c r="A874" s="75"/>
    </row>
    <row r="875">
      <c r="A875" s="75"/>
    </row>
    <row r="876">
      <c r="A876" s="75"/>
    </row>
    <row r="877">
      <c r="A877" s="75"/>
    </row>
    <row r="878">
      <c r="A878" s="75"/>
    </row>
    <row r="879">
      <c r="A879" s="75"/>
    </row>
    <row r="880">
      <c r="A880" s="75"/>
    </row>
    <row r="881">
      <c r="A881" s="75"/>
    </row>
    <row r="882">
      <c r="A882" s="75"/>
    </row>
    <row r="883">
      <c r="A883" s="75"/>
    </row>
    <row r="884">
      <c r="A884" s="75"/>
    </row>
    <row r="885">
      <c r="A885" s="75"/>
    </row>
    <row r="886">
      <c r="A886" s="75"/>
    </row>
    <row r="887">
      <c r="A887" s="75"/>
    </row>
    <row r="888">
      <c r="A888" s="75"/>
    </row>
    <row r="889">
      <c r="A889" s="75"/>
    </row>
    <row r="890">
      <c r="A890" s="75"/>
    </row>
    <row r="891">
      <c r="A891" s="75"/>
    </row>
    <row r="892">
      <c r="A892" s="75"/>
    </row>
    <row r="893">
      <c r="A893" s="75"/>
    </row>
    <row r="894">
      <c r="A894" s="75"/>
    </row>
    <row r="895">
      <c r="A895" s="75"/>
    </row>
    <row r="896">
      <c r="A896" s="75"/>
    </row>
    <row r="897">
      <c r="A897" s="75"/>
    </row>
    <row r="898">
      <c r="A898" s="75"/>
    </row>
    <row r="899">
      <c r="A899" s="75"/>
    </row>
    <row r="900">
      <c r="A900" s="75"/>
    </row>
    <row r="901">
      <c r="A901" s="75"/>
    </row>
    <row r="902">
      <c r="A902" s="75"/>
    </row>
    <row r="903">
      <c r="A903" s="75"/>
    </row>
    <row r="904">
      <c r="A904" s="75"/>
    </row>
    <row r="905">
      <c r="A905" s="75"/>
    </row>
    <row r="906">
      <c r="A906" s="75"/>
    </row>
    <row r="907">
      <c r="A907" s="75"/>
    </row>
    <row r="908">
      <c r="A908" s="75"/>
    </row>
    <row r="909">
      <c r="A909" s="75"/>
    </row>
    <row r="910">
      <c r="A910" s="75"/>
    </row>
    <row r="911">
      <c r="A911" s="75"/>
    </row>
    <row r="912">
      <c r="A912" s="75"/>
    </row>
    <row r="913">
      <c r="A913" s="75"/>
    </row>
    <row r="914">
      <c r="A914" s="75"/>
    </row>
    <row r="915">
      <c r="A915" s="75"/>
    </row>
    <row r="916">
      <c r="A916" s="75"/>
    </row>
    <row r="917">
      <c r="A917" s="75"/>
    </row>
    <row r="918">
      <c r="A918" s="75"/>
    </row>
    <row r="919">
      <c r="A919" s="75"/>
    </row>
    <row r="920">
      <c r="A920" s="75"/>
    </row>
    <row r="921">
      <c r="A921" s="75"/>
    </row>
    <row r="922">
      <c r="A922" s="75"/>
    </row>
    <row r="923">
      <c r="A923" s="75"/>
    </row>
    <row r="924">
      <c r="A924" s="75"/>
    </row>
    <row r="925">
      <c r="A925" s="75"/>
    </row>
    <row r="926">
      <c r="A926" s="75"/>
    </row>
    <row r="927">
      <c r="A927" s="75"/>
    </row>
    <row r="928">
      <c r="A928" s="75"/>
    </row>
    <row r="929">
      <c r="A929" s="75"/>
    </row>
    <row r="930">
      <c r="A930" s="75"/>
    </row>
    <row r="931">
      <c r="A931" s="75"/>
    </row>
    <row r="932">
      <c r="A932" s="75"/>
    </row>
    <row r="933">
      <c r="A933" s="75"/>
    </row>
    <row r="934">
      <c r="A934" s="75"/>
    </row>
    <row r="935">
      <c r="A935" s="75"/>
    </row>
    <row r="936">
      <c r="A936" s="75"/>
    </row>
    <row r="937">
      <c r="A937" s="75"/>
    </row>
    <row r="938">
      <c r="A938" s="75"/>
    </row>
    <row r="939">
      <c r="A939" s="75"/>
    </row>
    <row r="940">
      <c r="A940" s="75"/>
    </row>
    <row r="941">
      <c r="A941" s="75"/>
    </row>
    <row r="942">
      <c r="A942" s="75"/>
    </row>
    <row r="943">
      <c r="A943" s="75"/>
    </row>
    <row r="944">
      <c r="A944" s="75"/>
    </row>
    <row r="945">
      <c r="A945" s="75"/>
    </row>
    <row r="946">
      <c r="A946" s="75"/>
    </row>
    <row r="947">
      <c r="A947" s="75"/>
    </row>
    <row r="948">
      <c r="A948" s="75"/>
    </row>
    <row r="949">
      <c r="A949" s="75"/>
    </row>
    <row r="950">
      <c r="A950" s="75"/>
    </row>
    <row r="951">
      <c r="A951" s="75"/>
    </row>
    <row r="952">
      <c r="A952" s="75"/>
    </row>
    <row r="953">
      <c r="A953" s="75"/>
    </row>
    <row r="954">
      <c r="A954" s="75"/>
    </row>
    <row r="955">
      <c r="A955" s="75"/>
    </row>
    <row r="956">
      <c r="A956" s="75"/>
    </row>
    <row r="957">
      <c r="A957" s="75"/>
    </row>
    <row r="958">
      <c r="A958" s="75"/>
    </row>
    <row r="959">
      <c r="A959" s="75"/>
    </row>
    <row r="960">
      <c r="A960" s="75"/>
    </row>
    <row r="961">
      <c r="A961" s="75"/>
    </row>
    <row r="962">
      <c r="A962" s="75"/>
    </row>
    <row r="963">
      <c r="A963" s="75"/>
    </row>
    <row r="964">
      <c r="A964" s="75"/>
    </row>
    <row r="965">
      <c r="A965" s="75"/>
    </row>
    <row r="966">
      <c r="A966" s="75"/>
    </row>
    <row r="967">
      <c r="A967" s="75"/>
    </row>
    <row r="968">
      <c r="A968" s="75"/>
    </row>
    <row r="969">
      <c r="A969" s="75"/>
    </row>
    <row r="970">
      <c r="A970" s="75"/>
    </row>
    <row r="971">
      <c r="A971" s="75"/>
    </row>
    <row r="972">
      <c r="A972" s="75"/>
    </row>
    <row r="973">
      <c r="A973" s="75"/>
    </row>
    <row r="974">
      <c r="A974" s="75"/>
    </row>
    <row r="975">
      <c r="A975" s="75"/>
    </row>
    <row r="976">
      <c r="A976" s="75"/>
    </row>
    <row r="977">
      <c r="A977" s="75"/>
    </row>
    <row r="978">
      <c r="A978" s="75"/>
    </row>
    <row r="979">
      <c r="A979" s="75"/>
    </row>
    <row r="980">
      <c r="A980" s="75"/>
    </row>
    <row r="981">
      <c r="A981" s="75"/>
    </row>
    <row r="982">
      <c r="A982" s="75"/>
    </row>
    <row r="983">
      <c r="A983" s="75"/>
    </row>
    <row r="984">
      <c r="A984" s="75"/>
    </row>
    <row r="985">
      <c r="A985" s="75"/>
    </row>
    <row r="986">
      <c r="A986" s="75"/>
    </row>
    <row r="987">
      <c r="A987" s="75"/>
    </row>
    <row r="988">
      <c r="A988" s="75"/>
    </row>
    <row r="989">
      <c r="A989" s="75"/>
    </row>
    <row r="990">
      <c r="A990" s="75"/>
    </row>
    <row r="991">
      <c r="A991" s="75"/>
    </row>
    <row r="992">
      <c r="A992" s="75"/>
    </row>
    <row r="993">
      <c r="A993" s="75"/>
    </row>
    <row r="994">
      <c r="A994" s="75"/>
    </row>
    <row r="995">
      <c r="A995" s="75"/>
    </row>
    <row r="996">
      <c r="A996" s="75"/>
    </row>
    <row r="997">
      <c r="A997" s="75"/>
    </row>
    <row r="998">
      <c r="A998" s="75"/>
    </row>
    <row r="999">
      <c r="A999" s="75"/>
    </row>
    <row r="1000">
      <c r="A1000" s="75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location="specs" ref="D17"/>
    <hyperlink r:id="rId17" location=":~:text=The%20GB200%20NVL72%20weights%201.36%20metrics%20tons%2C%20or%203%2C000%20pounds.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8"/>
    <hyperlink r:id="rId27" ref="D38"/>
    <hyperlink r:id="rId28" ref="D39"/>
  </hyperlinks>
  <drawing r:id="rId2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7.63"/>
    <col customWidth="1" min="3" max="3" width="17.63"/>
    <col customWidth="1" min="4" max="4" width="12.38"/>
    <col customWidth="1" min="5" max="5" width="31.0"/>
    <col customWidth="1" min="6" max="6" width="16.0"/>
    <col customWidth="1" min="7" max="7" width="18.0"/>
    <col customWidth="1" min="8" max="8" width="15.5"/>
    <col customWidth="1" min="9" max="9" width="19.0"/>
    <col customWidth="1" min="10" max="10" width="18.38"/>
    <col customWidth="1" min="11" max="11" width="19.0"/>
    <col customWidth="1" min="12" max="12" width="18.25"/>
    <col customWidth="1" min="21" max="21" width="23.0"/>
  </cols>
  <sheetData>
    <row r="1">
      <c r="A1" s="6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3" t="s">
        <v>11</v>
      </c>
      <c r="B3" s="4" t="str">
        <f t="array" ref="B3">IF($A$3="","",INDEX('System Specs'!B:B,MATCH($A$3,'System Specs'!$A:$A,0)))</f>
        <v>LUVOIR A</v>
      </c>
      <c r="C3" s="4">
        <f t="array" ref="C3">IF($A$3="","",INDEX('System Specs'!C:C,MATCH($A$3,'System Specs'!$A:$A,0)))</f>
        <v>5</v>
      </c>
      <c r="D3" s="4">
        <f t="array" ref="D3">IF($A$3="","",INDEX('System Specs'!D:D,MATCH($A$3,'System Specs'!$A:$A,0)))</f>
        <v>3.5</v>
      </c>
      <c r="E3" s="4">
        <f t="array" ref="E3">IF($A$3="","",INDEX('System Specs'!E:E,MATCH($A$3,'System Specs'!$A:$A,0)))</f>
        <v>64</v>
      </c>
      <c r="F3" s="4">
        <f t="array" ref="F3">IF($A$3="","",INDEX('System Specs'!F:F,MATCH($A$3,'System Specs'!$A:$A,0)))</f>
        <v>128</v>
      </c>
      <c r="G3" s="4">
        <f t="array" ref="G3">IF($A$3="","",INDEX('System Specs'!G:G,MATCH($A$3,'System Specs'!$A:$A,0)))</f>
        <v>400</v>
      </c>
      <c r="H3" s="3">
        <v>0.5</v>
      </c>
      <c r="I3" s="3">
        <v>3.125</v>
      </c>
      <c r="J3" s="5">
        <v>0.001</v>
      </c>
    </row>
    <row r="6">
      <c r="A6" s="6" t="s">
        <v>12</v>
      </c>
      <c r="E6" s="6" t="s">
        <v>13</v>
      </c>
    </row>
    <row r="7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</row>
    <row r="8">
      <c r="A8" s="4">
        <f>ROUND(PI()*(E3^2-D3^2),0)</f>
        <v>12829</v>
      </c>
      <c r="B8" s="4">
        <f>A8/H3/H3</f>
        <v>51316</v>
      </c>
      <c r="C8" s="4">
        <f>B8*C3*2</f>
        <v>513160</v>
      </c>
      <c r="D8" s="4">
        <f>ROUND(2*PI()*(F3/2)^2,0)</f>
        <v>25736</v>
      </c>
      <c r="E8" s="3">
        <v>7.0</v>
      </c>
      <c r="F8" s="3">
        <v>35.0</v>
      </c>
      <c r="G8" s="3">
        <v>4.0</v>
      </c>
      <c r="H8" s="3">
        <v>8.0</v>
      </c>
      <c r="I8" s="3">
        <v>12.0</v>
      </c>
      <c r="J8" s="4">
        <f>C8*D8*H8/10^9</f>
        <v>105.6534861</v>
      </c>
    </row>
    <row r="10">
      <c r="A10" s="6" t="s">
        <v>25</v>
      </c>
      <c r="I10" s="6" t="s">
        <v>26</v>
      </c>
      <c r="K10" s="7"/>
      <c r="L10" s="7"/>
      <c r="M10" s="7"/>
      <c r="N10" s="7"/>
      <c r="O10" s="7"/>
      <c r="P10" s="7"/>
    </row>
    <row r="11">
      <c r="A11" s="2" t="s">
        <v>27</v>
      </c>
      <c r="E11" s="8" t="s">
        <v>28</v>
      </c>
      <c r="F11" s="8" t="s">
        <v>29</v>
      </c>
      <c r="G11" s="8" t="s">
        <v>30</v>
      </c>
      <c r="H11" s="8" t="s">
        <v>31</v>
      </c>
      <c r="I11" s="2" t="s">
        <v>32</v>
      </c>
      <c r="J11" s="2" t="s">
        <v>33</v>
      </c>
    </row>
    <row r="12">
      <c r="A12" s="11" t="s">
        <v>35</v>
      </c>
      <c r="B12" s="9"/>
      <c r="C12" s="9"/>
      <c r="E12" s="3">
        <v>15.0</v>
      </c>
      <c r="F12" s="3">
        <v>10.0</v>
      </c>
      <c r="G12" s="4">
        <f>B8/100</f>
        <v>513.16</v>
      </c>
      <c r="H12" s="3">
        <v>15.0</v>
      </c>
      <c r="I12" s="3">
        <f>32</f>
        <v>32</v>
      </c>
      <c r="J12" s="3">
        <v>2.6</v>
      </c>
    </row>
    <row r="13">
      <c r="I13" s="2" t="s">
        <v>36</v>
      </c>
      <c r="J13" s="2" t="s">
        <v>37</v>
      </c>
    </row>
    <row r="14">
      <c r="I14" s="3">
        <v>2.0</v>
      </c>
      <c r="J14" s="3">
        <v>1.3</v>
      </c>
    </row>
    <row r="17">
      <c r="A17" s="6" t="s">
        <v>38</v>
      </c>
    </row>
    <row r="18">
      <c r="A18" s="2" t="s">
        <v>39</v>
      </c>
      <c r="B18" s="2" t="s">
        <v>40</v>
      </c>
      <c r="C18" s="2" t="s">
        <v>41</v>
      </c>
      <c r="D18" s="2" t="s">
        <v>42</v>
      </c>
      <c r="E18" s="2" t="s">
        <v>43</v>
      </c>
      <c r="F18" s="2" t="s">
        <v>44</v>
      </c>
      <c r="G18" s="2" t="s">
        <v>45</v>
      </c>
      <c r="H18" s="2" t="s">
        <v>46</v>
      </c>
      <c r="I18" s="2" t="s">
        <v>47</v>
      </c>
      <c r="J18" s="2" t="s">
        <v>48</v>
      </c>
    </row>
    <row r="19">
      <c r="A19" s="3" t="s">
        <v>49</v>
      </c>
      <c r="B19" s="13" t="s">
        <v>50</v>
      </c>
      <c r="C19" s="14">
        <f>2*D8</f>
        <v>51472</v>
      </c>
      <c r="D19" s="14">
        <f t="shared" ref="D19:D27" si="1">C19/10^9</f>
        <v>0.000051472</v>
      </c>
      <c r="E19" s="10" t="s">
        <v>50</v>
      </c>
      <c r="F19" s="14">
        <f>D8*H8</f>
        <v>205888</v>
      </c>
      <c r="G19" s="14">
        <f t="shared" ref="G19:G27" si="2">F19/10^9</f>
        <v>0.000205888</v>
      </c>
      <c r="H19" s="14">
        <f t="shared" ref="H19:H27" si="3">F19/10^12</f>
        <v>0.000000205888</v>
      </c>
      <c r="I19" s="5">
        <f>B8*C3*I8/8/10^9</f>
        <v>0.00038487</v>
      </c>
      <c r="J19" s="3" t="s">
        <v>51</v>
      </c>
    </row>
    <row r="20">
      <c r="A20" s="3" t="s">
        <v>52</v>
      </c>
      <c r="B20" s="56" t="s">
        <v>53</v>
      </c>
      <c r="C20" s="14">
        <f>20*E8*C8</f>
        <v>71842400</v>
      </c>
      <c r="D20" s="14">
        <f t="shared" si="1"/>
        <v>0.0718424</v>
      </c>
      <c r="E20" s="10" t="s">
        <v>54</v>
      </c>
      <c r="F20" s="14">
        <f>E8*C8*H8</f>
        <v>28736960</v>
      </c>
      <c r="G20" s="14">
        <f t="shared" si="2"/>
        <v>0.02873696</v>
      </c>
      <c r="H20" s="14">
        <f t="shared" si="3"/>
        <v>0.00002873696</v>
      </c>
      <c r="I20" s="14">
        <f>(1+E8*2)*B8*C3*I8/8/10^9</f>
        <v>0.00577305</v>
      </c>
      <c r="J20" s="3" t="s">
        <v>55</v>
      </c>
    </row>
    <row r="21">
      <c r="A21" s="3" t="s">
        <v>56</v>
      </c>
      <c r="B21" s="10" t="s">
        <v>449</v>
      </c>
      <c r="C21" s="14">
        <f>F8*B8*C3</f>
        <v>8980300</v>
      </c>
      <c r="D21" s="14">
        <f t="shared" si="1"/>
        <v>0.0089803</v>
      </c>
      <c r="E21" s="10" t="s">
        <v>449</v>
      </c>
      <c r="F21" s="14">
        <f>F8*B8*C3*H8</f>
        <v>71842400</v>
      </c>
      <c r="G21" s="14">
        <f t="shared" si="2"/>
        <v>0.0718424</v>
      </c>
      <c r="H21" s="14">
        <f t="shared" si="3"/>
        <v>0.0000718424</v>
      </c>
      <c r="I21" s="5">
        <v>0.0</v>
      </c>
      <c r="J21" s="3"/>
      <c r="K21" s="3"/>
    </row>
    <row r="22">
      <c r="A22" s="3" t="s">
        <v>59</v>
      </c>
      <c r="B22" s="10" t="s">
        <v>60</v>
      </c>
      <c r="C22" s="14">
        <f>(5*E8+F8)*B8*C3</f>
        <v>17960600</v>
      </c>
      <c r="D22" s="14">
        <f t="shared" si="1"/>
        <v>0.0179606</v>
      </c>
      <c r="E22" s="10" t="s">
        <v>60</v>
      </c>
      <c r="F22" s="14">
        <f>(5*E8+F8)*B8*C3*H8</f>
        <v>143684800</v>
      </c>
      <c r="G22" s="14">
        <f t="shared" si="2"/>
        <v>0.1436848</v>
      </c>
      <c r="H22" s="14">
        <f t="shared" si="3"/>
        <v>0.0001436848</v>
      </c>
      <c r="I22" s="5">
        <v>0.0</v>
      </c>
    </row>
    <row r="23">
      <c r="A23" s="3" t="s">
        <v>61</v>
      </c>
      <c r="B23" s="10" t="s">
        <v>450</v>
      </c>
      <c r="C23" s="14">
        <f>2*D8*C8</f>
        <v>26413371520</v>
      </c>
      <c r="D23" s="14">
        <f t="shared" si="1"/>
        <v>26.41337152</v>
      </c>
      <c r="E23" s="10" t="s">
        <v>63</v>
      </c>
      <c r="F23" s="14">
        <f>(D8*(C8+D8)*H8)</f>
        <v>110952219648</v>
      </c>
      <c r="G23" s="14">
        <f t="shared" si="2"/>
        <v>110.9522196</v>
      </c>
      <c r="H23" s="14">
        <f t="shared" si="3"/>
        <v>0.1109522196</v>
      </c>
      <c r="I23" s="5">
        <f>D8*H8/10^9</f>
        <v>0.000205888</v>
      </c>
      <c r="J23" s="22">
        <f>I23*1000*1000</f>
        <v>205.888</v>
      </c>
    </row>
    <row r="24">
      <c r="A24" s="3" t="s">
        <v>64</v>
      </c>
      <c r="B24" s="10" t="s">
        <v>65</v>
      </c>
      <c r="C24" s="14">
        <f>C8*D8*D8</f>
        <v>339887264719360</v>
      </c>
      <c r="D24" s="14">
        <f t="shared" si="1"/>
        <v>339887.2647</v>
      </c>
      <c r="E24" s="10" t="s">
        <v>66</v>
      </c>
      <c r="F24" s="14">
        <f>D8*(2*D8+C8)</f>
        <v>14531369152</v>
      </c>
      <c r="G24" s="14">
        <f t="shared" si="2"/>
        <v>14.53136915</v>
      </c>
      <c r="H24" s="14">
        <f t="shared" si="3"/>
        <v>0.01453136915</v>
      </c>
      <c r="I24" s="5">
        <v>0.0</v>
      </c>
    </row>
    <row r="25">
      <c r="A25" s="3" t="s">
        <v>67</v>
      </c>
      <c r="B25" s="11" t="s">
        <v>68</v>
      </c>
      <c r="C25" s="14">
        <f>(2*D8^3/3)*G8</f>
        <v>45456069035349</v>
      </c>
      <c r="D25" s="14">
        <f t="shared" si="1"/>
        <v>45456.06904</v>
      </c>
      <c r="E25" s="10" t="s">
        <v>69</v>
      </c>
      <c r="F25" s="14">
        <f>3*D8^2*G8*H8</f>
        <v>63584802816</v>
      </c>
      <c r="G25" s="14">
        <f t="shared" si="2"/>
        <v>63.58480282</v>
      </c>
      <c r="H25" s="14">
        <f t="shared" si="3"/>
        <v>0.06358480282</v>
      </c>
      <c r="I25" s="5">
        <v>0.0</v>
      </c>
    </row>
    <row r="26">
      <c r="A26" s="3" t="s">
        <v>70</v>
      </c>
      <c r="C26" s="14">
        <f>C24+C25</f>
        <v>385343333754709</v>
      </c>
      <c r="D26" s="14">
        <f t="shared" si="1"/>
        <v>385343.3338</v>
      </c>
      <c r="F26" s="14">
        <f>F24+F25</f>
        <v>78116171968</v>
      </c>
      <c r="G26" s="14">
        <f t="shared" si="2"/>
        <v>78.11617197</v>
      </c>
      <c r="H26" s="14">
        <f t="shared" si="3"/>
        <v>0.07811617197</v>
      </c>
      <c r="I26" s="5">
        <v>0.0</v>
      </c>
    </row>
    <row r="27">
      <c r="A27" s="3" t="s">
        <v>72</v>
      </c>
      <c r="B27" s="23" t="s">
        <v>73</v>
      </c>
      <c r="C27" s="14">
        <f>H12*(C3*(14*B8*LOG(B8,2)+7*B8+2*G12*D8+D8)+(4*F12-1)*D8*G8*10)</f>
        <v>3455191414</v>
      </c>
      <c r="D27" s="14">
        <f t="shared" si="1"/>
        <v>3.455191414</v>
      </c>
      <c r="E27" s="10" t="s">
        <v>74</v>
      </c>
      <c r="F27" s="14">
        <f>(12*C3 + 16)*2048*2048</f>
        <v>318767104</v>
      </c>
      <c r="G27" s="14">
        <f t="shared" si="2"/>
        <v>0.318767104</v>
      </c>
      <c r="H27" s="14">
        <f t="shared" si="3"/>
        <v>0.000318767104</v>
      </c>
      <c r="I27" s="5">
        <v>0.0</v>
      </c>
    </row>
    <row r="28">
      <c r="F28" s="14"/>
      <c r="G28" s="14"/>
      <c r="H28" s="14">
        <f>F30/10^12</f>
        <v>0.292299836</v>
      </c>
      <c r="I28" s="5">
        <v>0.0</v>
      </c>
    </row>
    <row r="29">
      <c r="A29" s="3" t="s">
        <v>75</v>
      </c>
      <c r="B29" s="3"/>
      <c r="C29" s="5">
        <v>2.0E9</v>
      </c>
      <c r="D29" s="14">
        <f t="shared" ref="D29:D31" si="4">C29/10^9</f>
        <v>2</v>
      </c>
      <c r="F29" s="5">
        <v>5.0E8</v>
      </c>
      <c r="G29" s="14">
        <f t="shared" ref="G29:G31" si="5">F29/10^9</f>
        <v>0.5</v>
      </c>
      <c r="H29" s="14">
        <f t="shared" ref="H29:H31" si="6">F29/10^12</f>
        <v>0.0005</v>
      </c>
      <c r="I29" s="5">
        <v>0.0</v>
      </c>
    </row>
    <row r="30">
      <c r="A30" s="3" t="s">
        <v>76</v>
      </c>
      <c r="B30" s="3" t="s">
        <v>77</v>
      </c>
      <c r="C30" s="14">
        <f>2/3*(C8)^3+2*(B8)^2*(C8)</f>
        <v>9.27907E+16</v>
      </c>
      <c r="D30" s="14">
        <f t="shared" si="4"/>
        <v>92790679.5</v>
      </c>
      <c r="E30" s="3" t="s">
        <v>78</v>
      </c>
      <c r="F30" s="14">
        <f>(B8)^2+(B8)*(C8)+(C8)^2</f>
        <v>292299836016</v>
      </c>
      <c r="G30" s="14">
        <f t="shared" si="5"/>
        <v>292.299836</v>
      </c>
      <c r="H30" s="14">
        <f t="shared" si="6"/>
        <v>0.292299836</v>
      </c>
      <c r="I30" s="14"/>
    </row>
    <row r="31">
      <c r="A31" s="3" t="s">
        <v>79</v>
      </c>
      <c r="B31" s="3" t="s">
        <v>80</v>
      </c>
      <c r="C31" s="14">
        <f>(B8)*(C8)</f>
        <v>26333318560</v>
      </c>
      <c r="D31" s="14">
        <f t="shared" si="4"/>
        <v>26.33331856</v>
      </c>
      <c r="E31" s="3" t="s">
        <v>81</v>
      </c>
      <c r="F31" s="14">
        <f>(B8)*((B8)+(C8))</f>
        <v>28966650416</v>
      </c>
      <c r="G31" s="14">
        <f t="shared" si="5"/>
        <v>28.96665042</v>
      </c>
      <c r="H31" s="14">
        <f t="shared" si="6"/>
        <v>0.02896665042</v>
      </c>
      <c r="I31" s="14"/>
      <c r="K31" s="3"/>
    </row>
    <row r="32">
      <c r="H32" s="14"/>
    </row>
    <row r="33">
      <c r="A33" s="3" t="s">
        <v>82</v>
      </c>
      <c r="E33" s="3" t="s">
        <v>83</v>
      </c>
      <c r="F33" s="14">
        <f>C8*H8</f>
        <v>4105280</v>
      </c>
      <c r="G33" s="14">
        <f t="shared" ref="G33:G34" si="7">F33/10^9</f>
        <v>0.00410528</v>
      </c>
      <c r="H33" s="14">
        <f t="shared" ref="H33:H34" si="8">F33/10^12</f>
        <v>0.00000410528</v>
      </c>
      <c r="I33" s="14"/>
    </row>
    <row r="34">
      <c r="A34" s="3" t="s">
        <v>84</v>
      </c>
      <c r="E34" s="3" t="s">
        <v>50</v>
      </c>
      <c r="F34" s="14">
        <f>D8*H8</f>
        <v>205888</v>
      </c>
      <c r="G34" s="14">
        <f t="shared" si="7"/>
        <v>0.000205888</v>
      </c>
      <c r="H34" s="14">
        <f t="shared" si="8"/>
        <v>0.000000205888</v>
      </c>
      <c r="I34" s="14"/>
    </row>
    <row r="35">
      <c r="U35" s="3" t="s">
        <v>85</v>
      </c>
    </row>
    <row r="36">
      <c r="U36" s="3" t="s">
        <v>86</v>
      </c>
      <c r="V36" s="3" t="s">
        <v>87</v>
      </c>
      <c r="W36" s="3" t="s">
        <v>88</v>
      </c>
    </row>
    <row r="37">
      <c r="V37" s="3" t="s">
        <v>53</v>
      </c>
      <c r="W37" s="3" t="s">
        <v>54</v>
      </c>
    </row>
    <row r="38">
      <c r="U38" s="3" t="s">
        <v>89</v>
      </c>
      <c r="V38" s="3" t="s">
        <v>87</v>
      </c>
      <c r="W38" s="3" t="s">
        <v>88</v>
      </c>
    </row>
    <row r="39">
      <c r="A39" s="2" t="s">
        <v>90</v>
      </c>
      <c r="V39" s="26" t="s">
        <v>77</v>
      </c>
      <c r="W39" s="26" t="s">
        <v>91</v>
      </c>
    </row>
    <row r="40">
      <c r="A40" s="3">
        <v>1.0</v>
      </c>
      <c r="E40" s="4">
        <f>B8*C3*I8/8/1000^3/3.125</f>
        <v>0.0001231584</v>
      </c>
      <c r="K40" s="3" t="s">
        <v>92</v>
      </c>
      <c r="U40" s="3" t="s">
        <v>93</v>
      </c>
      <c r="V40" s="3" t="s">
        <v>87</v>
      </c>
      <c r="W40" s="3" t="s">
        <v>88</v>
      </c>
    </row>
    <row r="41">
      <c r="A41" s="6" t="s">
        <v>94</v>
      </c>
      <c r="K41" s="3" t="s">
        <v>42</v>
      </c>
      <c r="L41" s="27" t="s">
        <v>73</v>
      </c>
      <c r="V41" s="28" t="s">
        <v>80</v>
      </c>
      <c r="W41" s="28" t="s">
        <v>81</v>
      </c>
    </row>
    <row r="42">
      <c r="A42" s="2" t="s">
        <v>95</v>
      </c>
      <c r="B42" s="2" t="s">
        <v>96</v>
      </c>
      <c r="C42" s="29" t="s">
        <v>97</v>
      </c>
      <c r="D42" s="2" t="s">
        <v>98</v>
      </c>
      <c r="E42" s="2" t="s">
        <v>99</v>
      </c>
      <c r="F42" s="2" t="s">
        <v>100</v>
      </c>
      <c r="G42" s="2" t="s">
        <v>101</v>
      </c>
      <c r="H42" s="2" t="s">
        <v>102</v>
      </c>
      <c r="I42" s="30"/>
      <c r="K42" s="3" t="s">
        <v>88</v>
      </c>
      <c r="L42" s="3" t="s">
        <v>74</v>
      </c>
    </row>
    <row r="43">
      <c r="A43" s="3" t="s">
        <v>218</v>
      </c>
      <c r="B43" s="4">
        <f t="array" ref="B43">IF($A$43="","",INDEX('Compute Specs'!B:B,MATCH($A$43,'Compute Specs'!$A:$A,0)))*A40</f>
        <v>0</v>
      </c>
      <c r="C43" s="4">
        <f t="array" ref="C43">IF($A$43="","",INDEX('Compute Specs'!C:C,MATCH($A$43,'Compute Specs'!$A:$A,0)))*A40</f>
        <v>7.51192351</v>
      </c>
      <c r="D43" s="4">
        <f t="array" ref="D43">IF($A$43="","",INDEX('Compute Specs'!D:D,MATCH($A$43,'Compute Specs'!$A:$A,0)))*A40</f>
        <v>0</v>
      </c>
      <c r="E43" s="4">
        <f t="array" ref="E43">IF($A$43="","",INDEX('Compute Specs'!E:E,MATCH($A$43,'Compute Specs'!$A:$A,0)))*A40</f>
        <v>110</v>
      </c>
      <c r="F43" s="14">
        <f t="array" ref="F43">IF($A$43="","",INDEX('Compute Specs'!F:F,MATCH($A$43,'Compute Specs'!$A:$A,0)))*A40</f>
        <v>29.25</v>
      </c>
      <c r="G43" s="31" t="str">
        <f t="array" ref="G43">IF($A$43="","",INDEX('Compute Specs'!G:G,MATCH($A$43,'Compute Specs'!$A:$A,0)))</f>
        <v/>
      </c>
      <c r="H43" s="4" t="str">
        <f t="array" ref="H43">IF($A$43="","",INDEX('Compute Specs'!H:H,MATCH($A$43,'Compute Specs'!$A:$A,0)))</f>
        <v/>
      </c>
    </row>
    <row r="44">
      <c r="A44" s="3"/>
      <c r="G44" s="31"/>
      <c r="K44" s="3" t="s">
        <v>104</v>
      </c>
      <c r="U44" s="3" t="s">
        <v>105</v>
      </c>
    </row>
    <row r="45">
      <c r="A45" s="2" t="s">
        <v>106</v>
      </c>
      <c r="B45" s="2" t="s">
        <v>96</v>
      </c>
      <c r="C45" s="29" t="s">
        <v>97</v>
      </c>
      <c r="D45" s="2" t="s">
        <v>98</v>
      </c>
      <c r="E45" s="2" t="s">
        <v>99</v>
      </c>
      <c r="F45" s="2" t="s">
        <v>100</v>
      </c>
      <c r="G45" s="2" t="s">
        <v>101</v>
      </c>
      <c r="H45" s="2" t="s">
        <v>102</v>
      </c>
      <c r="I45" s="30"/>
      <c r="K45" s="32" t="s">
        <v>25</v>
      </c>
      <c r="L45" s="6" t="s">
        <v>107</v>
      </c>
      <c r="U45" s="32" t="s">
        <v>108</v>
      </c>
      <c r="V45" s="6" t="s">
        <v>107</v>
      </c>
    </row>
    <row r="46">
      <c r="A46" s="3" t="s">
        <v>109</v>
      </c>
      <c r="B46" s="4">
        <f t="array" ref="B46">IF($A$46="","",INDEX('Compute Specs'!B:B,MATCH($A$46,'Compute Specs'!$A:$A,0)))*$A$40</f>
        <v>0.0352</v>
      </c>
      <c r="C46" s="4">
        <f t="array" ref="C46">IF($A46="","",INDEX('Compute Specs'!C:C,MATCH($A46,'Compute Specs'!$A:$A,0)))*$A$40</f>
        <v>0.0352</v>
      </c>
      <c r="D46" s="4">
        <f t="array" ref="D46">IF($A46="","",INDEX('Compute Specs'!D:D,MATCH($A46,'Compute Specs'!$A:$A,0)))*A$40</f>
        <v>0</v>
      </c>
      <c r="E46" s="4">
        <f t="array" ref="E46">IF($A$46="","",INDEX('Compute Specs'!E:E,MATCH($A$46,'Compute Specs'!$A:$A,0)))*A$40</f>
        <v>128</v>
      </c>
      <c r="F46" s="4">
        <f t="array" ref="F46">IF($A$46="","",INDEX('Compute Specs'!F:F,MATCH($A$46,'Compute Specs'!$A:$A,0)))*A40</f>
        <v>0.0576</v>
      </c>
      <c r="G46" s="31" t="str">
        <f t="array" ref="G46">IF($A$43="","",INDEX('Compute Specs'!G:G,MATCH($A$43,'Compute Specs'!$A:$A,0)))</f>
        <v/>
      </c>
      <c r="H46" s="4" t="str">
        <f t="array" ref="H46">IF($A$43="","",INDEX('Compute Specs'!H:H,MATCH($A$43,'Compute Specs'!$A:$A,0)))</f>
        <v/>
      </c>
      <c r="K46" s="2" t="s">
        <v>52</v>
      </c>
      <c r="L46" s="2" t="s">
        <v>42</v>
      </c>
      <c r="M46" s="2" t="s">
        <v>46</v>
      </c>
      <c r="N46" s="2" t="s">
        <v>110</v>
      </c>
      <c r="O46" s="2" t="s">
        <v>111</v>
      </c>
      <c r="P46" s="2" t="s">
        <v>112</v>
      </c>
      <c r="Q46" s="2" t="s">
        <v>113</v>
      </c>
      <c r="R46" s="2" t="s">
        <v>114</v>
      </c>
      <c r="S46" s="2" t="s">
        <v>115</v>
      </c>
      <c r="U46" s="2" t="s">
        <v>52</v>
      </c>
      <c r="V46" s="2" t="s">
        <v>42</v>
      </c>
      <c r="W46" s="2" t="s">
        <v>46</v>
      </c>
      <c r="X46" s="2" t="s">
        <v>110</v>
      </c>
      <c r="Y46" s="2" t="s">
        <v>111</v>
      </c>
      <c r="Z46" s="2" t="s">
        <v>112</v>
      </c>
      <c r="AA46" s="2" t="s">
        <v>113</v>
      </c>
      <c r="AB46" s="2" t="s">
        <v>114</v>
      </c>
      <c r="AC46" s="2" t="s">
        <v>115</v>
      </c>
    </row>
    <row r="47">
      <c r="C47" s="14"/>
      <c r="F47" s="14"/>
      <c r="G47" s="14"/>
      <c r="K47" s="3"/>
      <c r="P47" s="4" t="str">
        <f t="array" ref="P47">IF($K47="","",INDEX('Obsolete Main'!I:I,MATCH($K47,'Obsolete Main'!$A:$A,0))/$I$3)</f>
        <v/>
      </c>
      <c r="U47" s="3"/>
      <c r="Z47" s="4" t="str">
        <f t="array" ref="Z47">IF($K47="","",INDEX('Obsolete Main'!S:S,MATCH($K47,'Obsolete Main'!$A:$A,0))/$I$3)</f>
        <v/>
      </c>
    </row>
    <row r="48">
      <c r="K48" s="3" t="str">
        <f>IF($K$46="Adjoint EFC",A21,A20)</f>
        <v>Pairwise Probing</v>
      </c>
      <c r="L48" s="5">
        <f t="array" ref="L48">IF($K48="","",INDEX('Obsolete Main'!D:D,MATCH($K48,'Obsolete Main'!$A:$A,0)))</f>
        <v>0.0718424</v>
      </c>
      <c r="M48" s="5">
        <f t="array" ref="M48">IF($K48="","",INDEX('Obsolete Main'!H:H,MATCH($K48,'Obsolete Main'!$A:$A,0)))</f>
        <v>0.00002873696</v>
      </c>
      <c r="N48" s="42">
        <f t="shared" ref="N48:N49" si="9">L48*10^9/M48/10^12</f>
        <v>2.5</v>
      </c>
      <c r="O48" s="3">
        <f t="shared" ref="O48:O49" si="10">MIN(IF($H$8=4,$B$43,$C$43),N48*$F$46)*1000</f>
        <v>144</v>
      </c>
      <c r="P48" s="14">
        <f t="array" ref="P48">IF($K48="","",INDEX('Obsolete Main'!I:I,MATCH($K48,'Obsolete Main'!$A:$A,0))/$I$3)</f>
        <v>0.001847376</v>
      </c>
      <c r="Q48" s="3" t="s">
        <v>116</v>
      </c>
      <c r="R48" s="5">
        <f t="shared" ref="R48:R49" si="11">L48/O48</f>
        <v>0.0004989055556</v>
      </c>
      <c r="S48" s="5">
        <f t="shared" ref="S48:S49" si="12">R48*$D$43</f>
        <v>0</v>
      </c>
      <c r="U48" s="3" t="str">
        <f>IF($K$46="Precomputed Gain",A21,A20)</f>
        <v>Pairwise Probing</v>
      </c>
      <c r="V48" s="5">
        <f t="array" ref="V48">IF($U48="","",INDEX('Obsolete Main'!D:D,MATCH($U48,'Obsolete Main'!$A:$A,0)))</f>
        <v>0.0718424</v>
      </c>
      <c r="W48" s="5">
        <f t="array" ref="W48">IF($U48="","",INDEX('Obsolete Main'!H:H,MATCH($U48,'Obsolete Main'!$A:$A,0)))</f>
        <v>0.00002873696</v>
      </c>
      <c r="X48" s="5">
        <f t="shared" ref="X48:X50" si="13">V48*10^9/W48/10^12</f>
        <v>2.5</v>
      </c>
      <c r="Y48" s="3">
        <f t="shared" ref="Y48:Y50" si="14">MIN(IF($H$8=4,$B$43,$C$43),X48*$F$46)*1000</f>
        <v>144</v>
      </c>
      <c r="Z48" s="5">
        <f t="array" ref="Z48">IF($U48="","",INDEX('Obsolete Main'!H:H,MATCH($U48,'Obsolete Main'!$A:$A,0)))</f>
        <v>0.00002873696</v>
      </c>
      <c r="AA48" s="3" t="s">
        <v>117</v>
      </c>
      <c r="AB48" s="5">
        <f t="shared" ref="AB48:AB50" si="15">V48/Y48</f>
        <v>0.0004989055556</v>
      </c>
      <c r="AC48" s="5">
        <f t="shared" ref="AC48:AC49" si="16">AB48*$D$43</f>
        <v>0</v>
      </c>
    </row>
    <row r="49">
      <c r="A49" s="32" t="s">
        <v>108</v>
      </c>
      <c r="B49" s="6" t="s">
        <v>107</v>
      </c>
      <c r="K49" s="3" t="str">
        <f>IF($K$46="Adjoint EFC",A27,A27)</f>
        <v>Adjoint Based</v>
      </c>
      <c r="L49" s="5">
        <f t="array" ref="L49">IF($K49="","",INDEX('Obsolete Main'!D:D,MATCH($K49,'Obsolete Main'!$A:$A,0)))</f>
        <v>3.455191414</v>
      </c>
      <c r="M49" s="5">
        <f t="array" ref="M49">IF($K49="","",INDEX('Obsolete Main'!H:H,MATCH($K49,'Obsolete Main'!$A:$A,0)))</f>
        <v>0.000318767104</v>
      </c>
      <c r="N49" s="42">
        <f t="shared" si="9"/>
        <v>10.83923457</v>
      </c>
      <c r="O49" s="3">
        <f t="shared" si="10"/>
        <v>624.3399113</v>
      </c>
      <c r="P49" s="14">
        <f t="array" ref="P49">IF($K49="","",INDEX('Obsolete Main'!I:I,MATCH($K49,'Obsolete Main'!$A:$A,0))/$I$3)</f>
        <v>0</v>
      </c>
      <c r="Q49" s="3" t="s">
        <v>116</v>
      </c>
      <c r="R49" s="5">
        <f t="shared" si="11"/>
        <v>0.005534151111</v>
      </c>
      <c r="S49" s="5">
        <f t="shared" si="12"/>
        <v>0</v>
      </c>
      <c r="U49" s="3" t="s">
        <v>118</v>
      </c>
      <c r="V49" s="5">
        <f t="array" ref="V49">IF($U49="","",INDEX('Obsolete Main'!D:D,MATCH($U49,'Obsolete Main'!$A:$A,0)))</f>
        <v>92790679.5</v>
      </c>
      <c r="W49" s="5">
        <f t="array" ref="W49">IF($U49="","",INDEX('Obsolete Main'!H:H,MATCH($U49,'Obsolete Main'!$A:$A,0)))</f>
        <v>0.292299836</v>
      </c>
      <c r="X49" s="5">
        <f t="shared" si="13"/>
        <v>317450.3303</v>
      </c>
      <c r="Y49" s="3">
        <f t="shared" si="14"/>
        <v>7511.92351</v>
      </c>
      <c r="Z49" s="5">
        <f t="array" ref="Z49">IF($U49="","",INDEX('Obsolete Main'!H:H,MATCH($U49,'Obsolete Main'!$A:$A,0)))</f>
        <v>0.292299836</v>
      </c>
      <c r="AA49" s="3" t="s">
        <v>117</v>
      </c>
      <c r="AB49" s="5">
        <f t="shared" si="15"/>
        <v>12352.45265</v>
      </c>
      <c r="AC49" s="5">
        <f t="shared" si="16"/>
        <v>0</v>
      </c>
    </row>
    <row r="50">
      <c r="A50" s="2" t="s">
        <v>119</v>
      </c>
      <c r="B50" s="2" t="s">
        <v>42</v>
      </c>
      <c r="C50" s="2" t="s">
        <v>46</v>
      </c>
      <c r="D50" s="2" t="s">
        <v>110</v>
      </c>
      <c r="E50" s="2" t="s">
        <v>111</v>
      </c>
      <c r="F50" s="2" t="s">
        <v>112</v>
      </c>
      <c r="G50" s="2" t="s">
        <v>113</v>
      </c>
      <c r="H50" s="2" t="s">
        <v>114</v>
      </c>
      <c r="I50" s="2" t="s">
        <v>115</v>
      </c>
      <c r="K50" s="3" t="str">
        <f>IF(E77=0,"","Broadcast/Gather")</f>
        <v>Broadcast/Gather</v>
      </c>
      <c r="L50" s="3" t="str">
        <f t="array" ref="L50">IF($K50="","",INDEX('Obsolete Main'!D:D,MATCH($K50,'Obsolete Main'!$A:$A,0)))</f>
        <v/>
      </c>
      <c r="P50" s="14">
        <f>G77+H77</f>
        <v>0.000519594</v>
      </c>
      <c r="Q50" s="3" t="s">
        <v>120</v>
      </c>
      <c r="R50" s="14">
        <f>IF(E77&gt;0,P50,)</f>
        <v>0.000519594</v>
      </c>
      <c r="U50" s="3" t="s">
        <v>79</v>
      </c>
      <c r="V50" s="5">
        <f t="array" ref="V50">IF($U50="","",INDEX('Obsolete Main'!D:D,MATCH($U50,'Obsolete Main'!$A:$A,0)))</f>
        <v>26.33331856</v>
      </c>
      <c r="W50" s="5">
        <f t="array" ref="W50">IF($U50="","",INDEX('Obsolete Main'!H:H,MATCH($U50,'Obsolete Main'!$A:$A,0)))</f>
        <v>0.02896665042</v>
      </c>
      <c r="X50" s="5">
        <f t="shared" si="13"/>
        <v>0.9090909091</v>
      </c>
      <c r="Y50" s="3">
        <f t="shared" si="14"/>
        <v>52.36363636</v>
      </c>
      <c r="Z50" s="5">
        <f t="array" ref="Z50">IF($U50="","",INDEX('Obsolete Main'!H:H,MATCH($U50,'Obsolete Main'!$A:$A,0)))</f>
        <v>0.02896665042</v>
      </c>
      <c r="AA50" s="3" t="s">
        <v>117</v>
      </c>
      <c r="AB50" s="5">
        <f t="shared" si="15"/>
        <v>0.5028932364</v>
      </c>
    </row>
    <row r="51">
      <c r="A51" s="3" t="str">
        <f>IF($A$50="Pairwise Probing",A20,A19)</f>
        <v>Dither Generation</v>
      </c>
      <c r="B51" s="12">
        <f t="array" ref="B51">IF($A51="","",INDEX('Obsolete Main'!D:D,MATCH($A51,'Obsolete Main'!$A:$A,0)))</f>
        <v>0.000051472</v>
      </c>
      <c r="C51" s="12">
        <f t="array" ref="C51">IF($A51="","",INDEX('Obsolete Main'!H:H,MATCH($A51,'Obsolete Main'!$A:$A,0)))</f>
        <v>0.000000205888</v>
      </c>
      <c r="D51" s="33">
        <f t="shared" ref="D51:D53" si="17">B51*10^9/C51/10^12</f>
        <v>0.25</v>
      </c>
      <c r="E51" s="9">
        <f>MIN(IF($H$8=4,$B$46,$C$46),D51*$F$46)*1000</f>
        <v>14.4</v>
      </c>
      <c r="F51" s="12">
        <f t="array" ref="F51">IF($A51="","",INDEX('Obsolete Main'!I:I,MATCH($A51,'Obsolete Main'!$A:$A,0))/$I$3)</f>
        <v>0.0001231584</v>
      </c>
      <c r="G51" s="12" t="str">
        <f t="shared" ref="G51:G53" si="18">IF($B$43&gt;D51*$F$43,"Memory","Compute")</f>
        <v>Compute</v>
      </c>
      <c r="H51" s="12">
        <f t="shared" ref="H51:H53" si="19">B51/E51</f>
        <v>0.000003574444444</v>
      </c>
      <c r="I51" s="12">
        <f t="shared" ref="I51:I53" si="20">H51*$D$43</f>
        <v>0</v>
      </c>
      <c r="K51" s="3" t="s">
        <v>121</v>
      </c>
      <c r="L51" s="3">
        <v>0.0</v>
      </c>
      <c r="M51" s="3">
        <v>0.0</v>
      </c>
      <c r="N51" s="3">
        <v>0.0</v>
      </c>
      <c r="O51" s="3">
        <v>0.0</v>
      </c>
      <c r="P51" s="14">
        <f>SUM(P47:P49)+2*J3</f>
        <v>0.003847376</v>
      </c>
      <c r="Q51" s="3" t="s">
        <v>122</v>
      </c>
      <c r="R51" s="14">
        <f>P51</f>
        <v>0.003847376</v>
      </c>
      <c r="Z51" s="14"/>
    </row>
    <row r="52">
      <c r="A52" s="4" t="str">
        <f>IF($A$50="Pairwise Probing",A22,A21)</f>
        <v>EKF</v>
      </c>
      <c r="B52" s="12">
        <f t="array" ref="B52">IF($A52="","",INDEX('Obsolete Main'!D:D,MATCH($A52,'Obsolete Main'!$A:$A,0)))</f>
        <v>0.0089803</v>
      </c>
      <c r="C52" s="12">
        <f t="array" ref="C52">IF($A52="","",INDEX('Obsolete Main'!H:H,MATCH($A52,'Obsolete Main'!$A:$A,0)))</f>
        <v>0.0000718424</v>
      </c>
      <c r="D52" s="33">
        <f t="shared" si="17"/>
        <v>0.125</v>
      </c>
      <c r="E52" s="9">
        <f t="shared" ref="E52:E53" si="21">MIN(IF($H$8=4,$B$43,$C$43),D52*$F$43)*1000</f>
        <v>3656.25</v>
      </c>
      <c r="F52" s="12">
        <f t="array" ref="F52">IF($A52="","",INDEX('Obsolete Main'!I:I,MATCH($A52,'Obsolete Main'!$A:$A,0))/$I$3)</f>
        <v>0</v>
      </c>
      <c r="G52" s="12" t="str">
        <f t="shared" si="18"/>
        <v>Compute</v>
      </c>
      <c r="H52" s="12">
        <f t="shared" si="19"/>
        <v>0.000002456150427</v>
      </c>
      <c r="I52" s="12">
        <f t="shared" si="20"/>
        <v>0</v>
      </c>
    </row>
    <row r="53">
      <c r="A53" s="4" t="str">
        <f>IF($A$49="Adjoint EFC",A27,A23)</f>
        <v>EFC with Precomputed Gain</v>
      </c>
      <c r="B53" s="12">
        <f t="array" ref="B53">IF($A53="","",INDEX('Obsolete Main'!D:D,MATCH($A53,'Obsolete Main'!$A:$A,0)))</f>
        <v>26.41337152</v>
      </c>
      <c r="C53" s="12">
        <f t="array" ref="C53">IF($A53="","",INDEX('Obsolete Main'!H:H,MATCH($A53,'Obsolete Main'!$A:$A,0)))</f>
        <v>0.1109522196</v>
      </c>
      <c r="D53" s="33">
        <f t="shared" si="17"/>
        <v>0.2380607761</v>
      </c>
      <c r="E53" s="9">
        <f t="shared" si="21"/>
        <v>6963.277701</v>
      </c>
      <c r="F53" s="12">
        <f t="array" ref="F53">IF($A53="","",INDEX('Obsolete Main'!I:I,MATCH($A53,'Obsolete Main'!$A:$A,0))/$I$3)</f>
        <v>0.00006588416</v>
      </c>
      <c r="G53" s="12" t="str">
        <f t="shared" si="18"/>
        <v>Compute</v>
      </c>
      <c r="H53" s="12">
        <f t="shared" si="19"/>
        <v>0.003793238279</v>
      </c>
      <c r="I53" s="12">
        <f t="shared" si="20"/>
        <v>0</v>
      </c>
    </row>
    <row r="54">
      <c r="A54" s="4" t="str">
        <f>IF(A49="Realtime Gain",A26,"")</f>
        <v/>
      </c>
      <c r="B54" s="9" t="str">
        <f t="array" ref="B54">IF($A54="","",INDEX('Obsolete Main'!D:D,MATCH($A54,'Obsolete Main'!$A:$A,0)))</f>
        <v/>
      </c>
      <c r="C54" s="12" t="str">
        <f t="array" ref="C54">IF($A54="","",INDEX('Obsolete Main'!H:H,MATCH($A54,'Obsolete Main'!$A:$A,0)))</f>
        <v/>
      </c>
      <c r="D54" s="33" t="str">
        <f>IF($A54="","",B54*10^9/C54/10^12)</f>
        <v/>
      </c>
      <c r="E54" s="9" t="str">
        <f>IF($A54="","",MIN($B$43,D54*$F$43)*1000)</f>
        <v/>
      </c>
      <c r="F54" s="9" t="str">
        <f t="array" ref="F54">IF($A54="","",INDEX('Obsolete Main'!I:I,MATCH($A54,'Obsolete Main'!$A:$A,0))/$I$3)</f>
        <v/>
      </c>
      <c r="G54" s="12" t="str">
        <f>IF($A54="","",IF($B$43&gt;D54*$F$43,"Memory","Compute"))</f>
        <v/>
      </c>
      <c r="H54" s="9" t="str">
        <f>IF($A54="","",B54/E54)</f>
        <v/>
      </c>
    </row>
    <row r="55">
      <c r="A55" s="3" t="str">
        <f>IF(E77=0,"","Broadcast/Gather")</f>
        <v>Broadcast/Gather</v>
      </c>
      <c r="B55" s="9"/>
      <c r="C55" s="9"/>
      <c r="D55" s="9"/>
      <c r="E55" s="9"/>
      <c r="F55" s="12">
        <f>G77+H77</f>
        <v>0.000519594</v>
      </c>
      <c r="G55" s="10" t="s">
        <v>120</v>
      </c>
      <c r="H55" s="12">
        <f>IF(E77&gt;0,F55,)</f>
        <v>0.000519594</v>
      </c>
    </row>
    <row r="56">
      <c r="A56" s="3" t="s">
        <v>121</v>
      </c>
      <c r="B56" s="10">
        <v>0.0</v>
      </c>
      <c r="C56" s="10">
        <v>0.0</v>
      </c>
      <c r="D56" s="10">
        <v>0.0</v>
      </c>
      <c r="E56" s="10">
        <v>0.0</v>
      </c>
      <c r="F56" s="12">
        <f>SUM(F51:F54)+2*J3</f>
        <v>0.00218904256</v>
      </c>
      <c r="G56" s="10" t="s">
        <v>122</v>
      </c>
      <c r="H56" s="12">
        <f>F56</f>
        <v>0.00218904256</v>
      </c>
    </row>
    <row r="58">
      <c r="A58" s="6" t="s">
        <v>123</v>
      </c>
      <c r="D58" s="7"/>
      <c r="E58" s="7"/>
      <c r="F58" s="7"/>
      <c r="G58" s="7"/>
    </row>
    <row r="59">
      <c r="A59" s="2" t="s">
        <v>124</v>
      </c>
      <c r="B59" s="2" t="s">
        <v>125</v>
      </c>
      <c r="C59" s="2" t="s">
        <v>113</v>
      </c>
    </row>
    <row r="60">
      <c r="A60" s="12">
        <f>SUM(H51:H56)</f>
        <v>0.006507905433</v>
      </c>
      <c r="B60" s="34">
        <f>1/A60</f>
        <v>153.6592703</v>
      </c>
      <c r="C60" s="12" t="str">
        <f t="array" ref="C60">INDEX(G51:G56, MATCH(MAX(H51:H56), H51:H56, 0))</f>
        <v>Compute</v>
      </c>
    </row>
    <row r="62">
      <c r="A62" s="6" t="s">
        <v>126</v>
      </c>
    </row>
    <row r="63">
      <c r="A63" s="2" t="s">
        <v>127</v>
      </c>
      <c r="B63" s="2" t="s">
        <v>42</v>
      </c>
      <c r="C63" s="2" t="s">
        <v>46</v>
      </c>
      <c r="D63" s="2" t="s">
        <v>110</v>
      </c>
      <c r="E63" s="2" t="s">
        <v>111</v>
      </c>
      <c r="F63" s="2" t="s">
        <v>112</v>
      </c>
      <c r="G63" s="2" t="s">
        <v>113</v>
      </c>
      <c r="H63" s="2" t="s">
        <v>114</v>
      </c>
      <c r="I63" s="2" t="s">
        <v>115</v>
      </c>
    </row>
    <row r="64">
      <c r="A64" s="3" t="s">
        <v>128</v>
      </c>
      <c r="B64" s="15">
        <f>G29</f>
        <v>0.5</v>
      </c>
      <c r="C64" s="12">
        <f>IFERROR(__xludf.DUMMYFUNCTION("H29*SQRT(VALUE(REGEXEXTRACT(A64, ""(\d+)\D*$"")))"),0.004)</f>
        <v>0.004</v>
      </c>
      <c r="D64" s="33">
        <f>B64*10^9/C64/10^12</f>
        <v>0.125</v>
      </c>
      <c r="E64" s="9">
        <f>MIN(IF($H$8=4,$B$43,$C$43),D64*$F$43)*1000</f>
        <v>3656.25</v>
      </c>
      <c r="F64" s="10">
        <v>0.0</v>
      </c>
      <c r="G64" s="12" t="str">
        <f>IF($B$43&gt;D64*$F$43,"Memory","Compute")</f>
        <v>Compute</v>
      </c>
      <c r="H64" s="12">
        <f>B64/E64</f>
        <v>0.0001367521368</v>
      </c>
      <c r="I64" s="12">
        <f>H64*$D$43</f>
        <v>0</v>
      </c>
    </row>
    <row r="66">
      <c r="A66" s="6" t="s">
        <v>129</v>
      </c>
      <c r="D66" s="7"/>
      <c r="E66" s="6" t="s">
        <v>130</v>
      </c>
    </row>
    <row r="67">
      <c r="A67" s="2" t="s">
        <v>131</v>
      </c>
      <c r="B67" s="2" t="s">
        <v>132</v>
      </c>
      <c r="C67" s="2" t="s">
        <v>42</v>
      </c>
      <c r="E67" s="2" t="s">
        <v>133</v>
      </c>
      <c r="F67" s="2" t="s">
        <v>134</v>
      </c>
      <c r="G67" s="2" t="s">
        <v>135</v>
      </c>
      <c r="H67" s="2" t="s">
        <v>3</v>
      </c>
      <c r="I67" s="2" t="s">
        <v>136</v>
      </c>
    </row>
    <row r="68">
      <c r="A68" s="3">
        <v>100.0</v>
      </c>
      <c r="B68" s="14">
        <f>A68*(C51+C52+C53)*A69</f>
        <v>15.22681853</v>
      </c>
      <c r="C68" s="14">
        <f>A68*(B51+B52+B53)*A69</f>
        <v>3623.794577</v>
      </c>
      <c r="E68" s="3">
        <v>48.0</v>
      </c>
      <c r="F68" s="3">
        <v>9.0</v>
      </c>
      <c r="G68" s="4">
        <f>F68*H68*128/8/1024</f>
        <v>1.125</v>
      </c>
      <c r="H68" s="3">
        <v>8.0</v>
      </c>
      <c r="I68" s="4">
        <f>MAX(CEILING(J8/E68,1),CEILING(B68/G68,1))</f>
        <v>14</v>
      </c>
    </row>
    <row r="69">
      <c r="A69" s="14">
        <f>(1/A68)/(1/A68-H56-H55)</f>
        <v>1.371485605</v>
      </c>
      <c r="B69" s="3" t="s">
        <v>137</v>
      </c>
      <c r="E69" s="2" t="s">
        <v>138</v>
      </c>
      <c r="F69" s="2" t="s">
        <v>139</v>
      </c>
      <c r="G69" s="2" t="s">
        <v>140</v>
      </c>
      <c r="H69" s="2" t="s">
        <v>141</v>
      </c>
      <c r="I69" s="2" t="s">
        <v>142</v>
      </c>
    </row>
    <row r="70">
      <c r="E70" s="3">
        <v>0.0046</v>
      </c>
      <c r="F70" s="4">
        <f>15/8*H68*128</f>
        <v>1920</v>
      </c>
      <c r="G70" s="3">
        <v>121.0</v>
      </c>
      <c r="H70" s="4">
        <f>E70*F70</f>
        <v>8.832</v>
      </c>
      <c r="I70" s="4">
        <f>(G70+H70)*I68</f>
        <v>1817.648</v>
      </c>
    </row>
    <row r="71">
      <c r="A71" s="6" t="s">
        <v>143</v>
      </c>
      <c r="E71" s="2" t="s">
        <v>144</v>
      </c>
      <c r="F71" s="2" t="s">
        <v>145</v>
      </c>
      <c r="G71" s="2" t="s">
        <v>146</v>
      </c>
      <c r="H71" s="2" t="s">
        <v>147</v>
      </c>
      <c r="I71" s="2" t="s">
        <v>148</v>
      </c>
    </row>
    <row r="72">
      <c r="A72" s="2" t="s">
        <v>149</v>
      </c>
      <c r="B72" s="2" t="s">
        <v>142</v>
      </c>
      <c r="C72" s="2" t="s">
        <v>150</v>
      </c>
      <c r="E72" s="3">
        <v>0.25</v>
      </c>
      <c r="F72" s="14">
        <f>E72*B68*8</f>
        <v>30.45363706</v>
      </c>
      <c r="G72" s="4">
        <f>4.3*0.8</f>
        <v>3.44</v>
      </c>
      <c r="H72" s="14">
        <f>B68*G72*8</f>
        <v>419.0420459</v>
      </c>
      <c r="I72" s="14">
        <f>F72+H72</f>
        <v>449.495683</v>
      </c>
    </row>
    <row r="73">
      <c r="A73" s="3">
        <v>38.1</v>
      </c>
      <c r="B73" s="4">
        <f>J8*1000*8/A73</f>
        <v>22184.45902</v>
      </c>
      <c r="C73" s="3">
        <v>256.0</v>
      </c>
    </row>
    <row r="74">
      <c r="A74" s="2" t="s">
        <v>151</v>
      </c>
      <c r="B74" s="2" t="s">
        <v>152</v>
      </c>
      <c r="C74" s="2" t="s">
        <v>153</v>
      </c>
    </row>
    <row r="75">
      <c r="A75" s="3" t="s">
        <v>154</v>
      </c>
      <c r="B75" s="3" t="s">
        <v>155</v>
      </c>
      <c r="C75" s="3">
        <v>3.0</v>
      </c>
      <c r="E75" s="6" t="s">
        <v>26</v>
      </c>
      <c r="J75" s="3"/>
    </row>
    <row r="76">
      <c r="A76" s="2" t="s">
        <v>156</v>
      </c>
      <c r="B76" s="2" t="s">
        <v>157</v>
      </c>
      <c r="C76" s="2" t="s">
        <v>158</v>
      </c>
      <c r="E76" s="2" t="s">
        <v>159</v>
      </c>
      <c r="F76" s="2" t="s">
        <v>160</v>
      </c>
      <c r="G76" s="2" t="s">
        <v>161</v>
      </c>
      <c r="H76" s="2" t="s">
        <v>162</v>
      </c>
      <c r="I76" s="2" t="s">
        <v>98</v>
      </c>
    </row>
    <row r="77">
      <c r="A77" s="4">
        <f>CEILING(J8*1024*8/C73,1)</f>
        <v>3381</v>
      </c>
      <c r="B77" s="4">
        <f>A77*32/1024^2</f>
        <v>0.1031799316</v>
      </c>
      <c r="C77" s="14">
        <f>B68*8*1024^2/B77/1000</f>
        <v>1237952.087</v>
      </c>
      <c r="E77" s="3">
        <f>IF(A43="HBM Solution",I68,IF(A43="SRAM Solution",B79,IF(A40&gt;1,A40,0)))</f>
        <v>14</v>
      </c>
      <c r="F77" s="4">
        <f>IF(E77=0,0,CEILING(LOG(E77,I14),1))</f>
        <v>4</v>
      </c>
      <c r="G77" s="5">
        <f>F77*C8*H8/(I12*10^9)</f>
        <v>0.00051316</v>
      </c>
      <c r="H77" s="14">
        <f>D8*H8/(I12*10^9)*IF(E77=0,0,1)</f>
        <v>0.000006434</v>
      </c>
      <c r="I77" s="14">
        <f>(C8*H8*8*J12*F77+D8*H8*8*I8*F77)*A68/10^12</f>
        <v>0.0420620288</v>
      </c>
    </row>
    <row r="78">
      <c r="A78" s="2" t="s">
        <v>163</v>
      </c>
      <c r="B78" s="2" t="s">
        <v>164</v>
      </c>
      <c r="C78" s="2" t="s">
        <v>165</v>
      </c>
      <c r="G78" s="2" t="s">
        <v>166</v>
      </c>
      <c r="H78" s="2" t="s">
        <v>167</v>
      </c>
    </row>
    <row r="79">
      <c r="A79" s="3">
        <v>400.0</v>
      </c>
      <c r="B79" s="4">
        <f>CEILING(B73/A79,1)</f>
        <v>56</v>
      </c>
      <c r="C79" s="4">
        <f>CEILING(A77/B79,1)</f>
        <v>61</v>
      </c>
      <c r="G79" s="3">
        <f>C8*H8*J12*F77/10^9*A68</f>
        <v>4.2694912</v>
      </c>
      <c r="H79" s="4">
        <f>D8*H8*I8*F77/10^9*A68</f>
        <v>0.9882624</v>
      </c>
    </row>
    <row r="81">
      <c r="A81" s="6" t="s">
        <v>168</v>
      </c>
      <c r="E81" s="6" t="s">
        <v>169</v>
      </c>
    </row>
    <row r="82">
      <c r="A82" s="2" t="s">
        <v>170</v>
      </c>
      <c r="B82" s="2" t="s">
        <v>171</v>
      </c>
      <c r="C82" s="2" t="s">
        <v>172</v>
      </c>
      <c r="E82" s="2" t="s">
        <v>173</v>
      </c>
      <c r="F82" s="2" t="s">
        <v>174</v>
      </c>
      <c r="G82" s="29" t="s">
        <v>175</v>
      </c>
      <c r="H82" s="2" t="s">
        <v>176</v>
      </c>
      <c r="I82" s="2" t="s">
        <v>177</v>
      </c>
    </row>
    <row r="83">
      <c r="A83" s="3">
        <v>90.1</v>
      </c>
      <c r="B83" s="4">
        <f>(0.75/0.6)^2*A83</f>
        <v>140.78125</v>
      </c>
      <c r="C83" s="14">
        <f>B83*B68*1024^4*8/10^15</f>
        <v>18.85574961</v>
      </c>
      <c r="E83" s="3" t="s">
        <v>178</v>
      </c>
      <c r="F83" s="76" t="str">
        <f t="array" ref="F83">IF($E$83="","",INDEX('MAC Specs'!B:B,MATCH($E$83,'MAC Specs'!$A:$A,0)))</f>
        <v>ASAP 7nm</v>
      </c>
      <c r="G83" s="42">
        <f t="array" ref="G83">IF($E$83="","",INDEX('MAC Specs'!C:C,MATCH($E$83,'MAC Specs'!$A:$A,0)))</f>
        <v>0.5</v>
      </c>
      <c r="H83" s="42">
        <f t="array" ref="H83">IF($E$83="","",INDEX('MAC Specs'!D:D,MATCH($E$83,'MAC Specs'!$A:$A,0)))</f>
        <v>1450.9</v>
      </c>
      <c r="I83" s="42">
        <f t="array" ref="I83">IF($E$83="","",INDEX('MAC Specs'!E:E,MATCH($E$83,'MAC Specs'!$A:$A,0)))</f>
        <v>1.4038</v>
      </c>
    </row>
    <row r="84">
      <c r="A84" s="2" t="s">
        <v>179</v>
      </c>
      <c r="B84" s="2" t="s">
        <v>180</v>
      </c>
      <c r="C84" s="2" t="s">
        <v>181</v>
      </c>
      <c r="E84" s="2" t="s">
        <v>182</v>
      </c>
      <c r="F84" s="2" t="s">
        <v>142</v>
      </c>
      <c r="G84" s="2" t="s">
        <v>148</v>
      </c>
      <c r="H84" s="2" t="s">
        <v>183</v>
      </c>
      <c r="I84" s="2" t="s">
        <v>451</v>
      </c>
    </row>
    <row r="85">
      <c r="A85" s="3">
        <v>12.0</v>
      </c>
      <c r="B85" s="4">
        <f>(0.75/0.6)^2*A85</f>
        <v>18.75</v>
      </c>
      <c r="C85" s="14">
        <f>J8*1024^3*8*A85/10^12</f>
        <v>10.89067842</v>
      </c>
      <c r="E85" s="14">
        <f>C68/G83</f>
        <v>7247.589154</v>
      </c>
      <c r="F85" s="14">
        <f>E85*H83/1000/1000</f>
        <v>10.5155271</v>
      </c>
      <c r="G85" s="14">
        <f>E85*I83/1000</f>
        <v>10.17416565</v>
      </c>
      <c r="H85" s="42">
        <f>CEILING(E85/B79,1)</f>
        <v>130</v>
      </c>
    </row>
    <row r="87">
      <c r="A87" s="6" t="s">
        <v>185</v>
      </c>
      <c r="E87" s="6" t="s">
        <v>186</v>
      </c>
    </row>
    <row r="88">
      <c r="A88" s="36" t="s">
        <v>187</v>
      </c>
      <c r="E88" s="2" t="s">
        <v>188</v>
      </c>
      <c r="F88" s="2" t="s">
        <v>189</v>
      </c>
      <c r="G88" s="3"/>
    </row>
    <row r="89">
      <c r="E89" s="42">
        <f>B8*C3*4*4/1024^2</f>
        <v>3.915100098</v>
      </c>
      <c r="F89" s="4">
        <f>B8*C3*F8*A68*33/1024^3</f>
        <v>27.59973519</v>
      </c>
    </row>
    <row r="91">
      <c r="A91" s="6" t="s">
        <v>190</v>
      </c>
      <c r="E91" s="6" t="s">
        <v>191</v>
      </c>
    </row>
    <row r="92">
      <c r="A92" s="37" t="s">
        <v>192</v>
      </c>
      <c r="B92" s="77">
        <f>C83+C85</f>
        <v>29.74642803</v>
      </c>
      <c r="E92" s="2" t="s">
        <v>193</v>
      </c>
      <c r="F92" s="2" t="s">
        <v>134</v>
      </c>
      <c r="G92" s="2" t="s">
        <v>194</v>
      </c>
      <c r="H92" s="2" t="s">
        <v>195</v>
      </c>
      <c r="I92" s="2" t="s">
        <v>196</v>
      </c>
    </row>
    <row r="93">
      <c r="A93" s="37" t="s">
        <v>197</v>
      </c>
      <c r="B93" s="78">
        <f>I72</f>
        <v>449.495683</v>
      </c>
      <c r="E93" s="3" t="s">
        <v>109</v>
      </c>
      <c r="F93" s="3">
        <v>2.2</v>
      </c>
      <c r="G93" s="3">
        <v>16.0</v>
      </c>
      <c r="H93" s="4">
        <f>1*G93*F93</f>
        <v>35.2</v>
      </c>
      <c r="I93" s="3">
        <v>8.0</v>
      </c>
    </row>
    <row r="94">
      <c r="A94" s="40" t="s">
        <v>26</v>
      </c>
      <c r="B94" s="79">
        <f>I77</f>
        <v>0.0420620288</v>
      </c>
      <c r="E94" s="2" t="s">
        <v>98</v>
      </c>
      <c r="F94" s="2" t="s">
        <v>198</v>
      </c>
      <c r="G94" s="2" t="s">
        <v>199</v>
      </c>
    </row>
    <row r="95">
      <c r="A95" s="40" t="s">
        <v>200</v>
      </c>
      <c r="B95" s="77">
        <f>G85</f>
        <v>10.17416565</v>
      </c>
      <c r="E95" s="3">
        <v>25.0</v>
      </c>
      <c r="F95" s="4">
        <f>CEILING(F89/H93,1)</f>
        <v>1</v>
      </c>
    </row>
    <row r="96">
      <c r="A96" s="40" t="s">
        <v>201</v>
      </c>
      <c r="B96" s="77">
        <f>F95*E95</f>
        <v>25</v>
      </c>
    </row>
    <row r="97">
      <c r="E97" s="6" t="s">
        <v>202</v>
      </c>
    </row>
    <row r="98">
      <c r="E98" s="2" t="s">
        <v>203</v>
      </c>
      <c r="F98" s="2" t="s">
        <v>142</v>
      </c>
      <c r="G98" s="2" t="s">
        <v>204</v>
      </c>
      <c r="H98" s="2" t="s">
        <v>205</v>
      </c>
      <c r="I98" s="2" t="s">
        <v>206</v>
      </c>
    </row>
    <row r="99">
      <c r="A99" s="6" t="s">
        <v>103</v>
      </c>
      <c r="B99" s="6" t="s">
        <v>98</v>
      </c>
      <c r="C99" s="6" t="s">
        <v>199</v>
      </c>
      <c r="E99" s="42">
        <f>1000000/0.0249/1024/1024</f>
        <v>38.30017335</v>
      </c>
      <c r="F99" s="4">
        <f>J8*1000*8/E99</f>
        <v>22068.5134</v>
      </c>
      <c r="G99" s="3">
        <v>200.0</v>
      </c>
      <c r="H99" s="3">
        <v>128.0</v>
      </c>
      <c r="I99" s="4">
        <f>I101*H101/1024</f>
        <v>82.54375</v>
      </c>
    </row>
    <row r="100">
      <c r="A100" s="42">
        <f>B95+B96+B92</f>
        <v>64.92059368</v>
      </c>
      <c r="E100" s="2" t="s">
        <v>207</v>
      </c>
      <c r="F100" s="2" t="s">
        <v>208</v>
      </c>
      <c r="G100" s="2" t="s">
        <v>150</v>
      </c>
      <c r="H100" s="2" t="s">
        <v>209</v>
      </c>
      <c r="I100" s="2" t="s">
        <v>156</v>
      </c>
    </row>
    <row r="101">
      <c r="A101" s="37" t="s">
        <v>192</v>
      </c>
      <c r="B101" s="42">
        <f>B92</f>
        <v>29.74642803</v>
      </c>
      <c r="C101" s="4">
        <f>B73</f>
        <v>22184.45902</v>
      </c>
      <c r="E101" s="3" t="s">
        <v>210</v>
      </c>
      <c r="F101" s="3">
        <v>0.6</v>
      </c>
      <c r="G101" s="3">
        <v>32.0</v>
      </c>
      <c r="H101" s="3">
        <v>3.2</v>
      </c>
      <c r="I101" s="4">
        <f>CEILING(J8*1000*8/G101,1)</f>
        <v>26414</v>
      </c>
    </row>
    <row r="102">
      <c r="A102" s="40" t="s">
        <v>26</v>
      </c>
      <c r="B102" s="14">
        <f t="shared" ref="B102:B104" si="22">B94</f>
        <v>0.0420620288</v>
      </c>
      <c r="C102" s="4">
        <f>J14*E77</f>
        <v>18.2</v>
      </c>
      <c r="E102" s="3" t="s">
        <v>207</v>
      </c>
    </row>
    <row r="103">
      <c r="A103" s="40" t="s">
        <v>200</v>
      </c>
      <c r="B103" s="42">
        <f t="shared" si="22"/>
        <v>10.17416565</v>
      </c>
      <c r="C103" s="14">
        <f>F85</f>
        <v>10.5155271</v>
      </c>
    </row>
    <row r="104">
      <c r="A104" s="40" t="s">
        <v>201</v>
      </c>
      <c r="B104" s="42">
        <f t="shared" si="22"/>
        <v>25</v>
      </c>
      <c r="C104" s="3">
        <v>1600.0</v>
      </c>
      <c r="E104" s="6" t="s">
        <v>211</v>
      </c>
    </row>
    <row r="105">
      <c r="A105" s="2" t="s">
        <v>212</v>
      </c>
      <c r="B105" s="42">
        <f>SUM(B101:B104)</f>
        <v>64.96265571</v>
      </c>
      <c r="C105" s="4">
        <f>SUM(C100:C104)</f>
        <v>23813.17455</v>
      </c>
      <c r="E105" s="2" t="s">
        <v>213</v>
      </c>
      <c r="F105" s="2" t="s">
        <v>214</v>
      </c>
      <c r="G105" s="2" t="s">
        <v>215</v>
      </c>
      <c r="H105" s="2" t="s">
        <v>216</v>
      </c>
      <c r="I105" s="2" t="s">
        <v>217</v>
      </c>
    </row>
    <row r="106">
      <c r="A106" s="6" t="s">
        <v>218</v>
      </c>
      <c r="B106" s="6" t="s">
        <v>98</v>
      </c>
      <c r="C106" s="6" t="s">
        <v>199</v>
      </c>
      <c r="E106" s="3">
        <f>1.1/2</f>
        <v>0.55</v>
      </c>
      <c r="F106" s="3">
        <v>0.86</v>
      </c>
      <c r="G106" s="3">
        <v>3.0</v>
      </c>
      <c r="H106" s="4">
        <f>48*2</f>
        <v>96</v>
      </c>
      <c r="I106" s="42">
        <f>G106/F106</f>
        <v>3.488372093</v>
      </c>
    </row>
    <row r="107">
      <c r="A107" s="42">
        <f>B95+B96+B93</f>
        <v>484.6698487</v>
      </c>
      <c r="E107" s="2" t="s">
        <v>207</v>
      </c>
      <c r="F107" s="2" t="s">
        <v>219</v>
      </c>
      <c r="G107" s="2" t="s">
        <v>209</v>
      </c>
      <c r="H107" s="2" t="s">
        <v>142</v>
      </c>
      <c r="I107" s="2" t="s">
        <v>172</v>
      </c>
    </row>
    <row r="108">
      <c r="A108" s="37" t="s">
        <v>197</v>
      </c>
      <c r="B108" s="14">
        <f>H72</f>
        <v>419.0420459</v>
      </c>
      <c r="C108" s="4">
        <f>I68*(G70)</f>
        <v>1694</v>
      </c>
      <c r="E108" s="3" t="s">
        <v>220</v>
      </c>
      <c r="F108" s="3">
        <v>12.0</v>
      </c>
      <c r="G108" s="4">
        <f>1/12*H106/8</f>
        <v>1</v>
      </c>
      <c r="H108" s="43">
        <f>J8*8*1024/I106/2</f>
        <v>124056.9146</v>
      </c>
      <c r="I108" s="14">
        <f>E106*B68*8*1024^4/10^12</f>
        <v>73.66508172</v>
      </c>
    </row>
    <row r="109">
      <c r="A109" s="37" t="s">
        <v>221</v>
      </c>
      <c r="B109" s="14">
        <f>F72</f>
        <v>30.45363706</v>
      </c>
      <c r="C109" s="4">
        <f>I68*(H70)</f>
        <v>123.648</v>
      </c>
    </row>
    <row r="110">
      <c r="A110" s="40" t="s">
        <v>26</v>
      </c>
      <c r="B110" s="14">
        <f t="shared" ref="B110:B112" si="23">B94</f>
        <v>0.0420620288</v>
      </c>
      <c r="C110" s="4">
        <f>E77*J14</f>
        <v>18.2</v>
      </c>
      <c r="E110" s="6" t="s">
        <v>222</v>
      </c>
    </row>
    <row r="111">
      <c r="A111" s="40" t="s">
        <v>200</v>
      </c>
      <c r="B111" s="42">
        <f t="shared" si="23"/>
        <v>10.17416565</v>
      </c>
      <c r="C111" s="14">
        <f>F85</f>
        <v>10.5155271</v>
      </c>
      <c r="E111" s="2" t="s">
        <v>213</v>
      </c>
      <c r="F111" s="3" t="s">
        <v>223</v>
      </c>
      <c r="G111" s="3" t="s">
        <v>224</v>
      </c>
    </row>
    <row r="112">
      <c r="A112" s="40" t="s">
        <v>201</v>
      </c>
      <c r="B112" s="42">
        <f t="shared" si="23"/>
        <v>25</v>
      </c>
      <c r="C112" s="3">
        <v>1600.0</v>
      </c>
    </row>
    <row r="113">
      <c r="A113" s="2" t="s">
        <v>212</v>
      </c>
      <c r="B113" s="4">
        <f t="shared" ref="B113:C113" si="24">SUM(B107:B112)</f>
        <v>484.7119107</v>
      </c>
      <c r="C113" s="4">
        <f t="shared" si="24"/>
        <v>3446.363527</v>
      </c>
    </row>
    <row r="117">
      <c r="A117" s="6" t="s">
        <v>225</v>
      </c>
    </row>
    <row r="118">
      <c r="A118" s="44" t="s">
        <v>103</v>
      </c>
      <c r="B118" s="44" t="s">
        <v>98</v>
      </c>
      <c r="C118" s="2" t="s">
        <v>226</v>
      </c>
    </row>
    <row r="119">
      <c r="B119" s="42">
        <v>36.1036065184743</v>
      </c>
      <c r="C119" s="3">
        <v>1.0</v>
      </c>
    </row>
    <row r="120">
      <c r="B120" s="42">
        <v>38.07834635825616</v>
      </c>
      <c r="C120" s="3">
        <v>10.0</v>
      </c>
    </row>
    <row r="121">
      <c r="B121" s="42">
        <v>42.87966853186633</v>
      </c>
      <c r="C121" s="3">
        <v>30.0</v>
      </c>
    </row>
    <row r="122">
      <c r="B122" s="42">
        <v>48.347840068688846</v>
      </c>
      <c r="C122" s="3">
        <v>50.0</v>
      </c>
      <c r="E122" s="6" t="s">
        <v>227</v>
      </c>
    </row>
    <row r="123">
      <c r="B123" s="42">
        <v>66.04249624382646</v>
      </c>
      <c r="C123" s="3">
        <v>100.0</v>
      </c>
      <c r="E123" s="2" t="s">
        <v>228</v>
      </c>
      <c r="F123" s="2" t="s">
        <v>229</v>
      </c>
      <c r="G123" s="2" t="s">
        <v>230</v>
      </c>
      <c r="H123" s="2" t="s">
        <v>150</v>
      </c>
      <c r="I123" s="2" t="s">
        <v>217</v>
      </c>
    </row>
    <row r="124">
      <c r="B124" s="42">
        <v>118.17038241197561</v>
      </c>
      <c r="C124" s="3">
        <v>150.0</v>
      </c>
      <c r="E124" s="3">
        <v>24.9</v>
      </c>
      <c r="F124" s="45">
        <v>9.0</v>
      </c>
      <c r="G124" s="3">
        <v>192.0</v>
      </c>
      <c r="H124" s="3">
        <v>4.0</v>
      </c>
      <c r="I124" s="42">
        <f>H124/F124</f>
        <v>0.4444444444</v>
      </c>
    </row>
    <row r="125">
      <c r="B125" s="42">
        <v>165.0415280975435</v>
      </c>
      <c r="C125" s="3">
        <v>200.0</v>
      </c>
      <c r="F125" s="3" t="s">
        <v>231</v>
      </c>
    </row>
    <row r="126">
      <c r="B126" s="42">
        <v>661.0813651553403</v>
      </c>
      <c r="C126" s="3">
        <v>300.0</v>
      </c>
    </row>
    <row r="127">
      <c r="B127" s="42">
        <v>898.3497875916158</v>
      </c>
      <c r="C127" s="3">
        <v>310.0</v>
      </c>
      <c r="E127" s="3" t="s">
        <v>452</v>
      </c>
    </row>
    <row r="128">
      <c r="B128" s="42">
        <v>3338.198159628644</v>
      </c>
      <c r="C128" s="3">
        <v>330.0</v>
      </c>
    </row>
    <row r="129">
      <c r="B129" s="42">
        <v>10745.128634314988</v>
      </c>
      <c r="C129" s="3">
        <v>335.0</v>
      </c>
    </row>
    <row r="130">
      <c r="B130" s="42"/>
    </row>
    <row r="131">
      <c r="B131" s="46"/>
    </row>
    <row r="134">
      <c r="A134" s="44" t="s">
        <v>218</v>
      </c>
      <c r="B134" s="44" t="s">
        <v>98</v>
      </c>
      <c r="C134" s="2" t="s">
        <v>226</v>
      </c>
    </row>
    <row r="135">
      <c r="B135" s="4">
        <v>28.360068802153343</v>
      </c>
      <c r="C135" s="3">
        <v>1.0</v>
      </c>
    </row>
    <row r="136">
      <c r="B136" s="4">
        <v>59.36079699860926</v>
      </c>
      <c r="C136" s="3">
        <v>10.0</v>
      </c>
    </row>
    <row r="137">
      <c r="B137" s="4">
        <v>133.53873668917274</v>
      </c>
      <c r="C137" s="3">
        <v>30.0</v>
      </c>
    </row>
    <row r="138">
      <c r="B138" s="4">
        <v>217.4202858131082</v>
      </c>
      <c r="C138" s="3">
        <v>50.0</v>
      </c>
    </row>
    <row r="139">
      <c r="B139" s="4">
        <v>484.71191068379164</v>
      </c>
      <c r="C139" s="3">
        <v>100.0</v>
      </c>
    </row>
    <row r="140">
      <c r="B140" s="4">
        <v>925.2348391907674</v>
      </c>
      <c r="C140" s="3">
        <v>150.0</v>
      </c>
    </row>
    <row r="141">
      <c r="B141" s="4">
        <v>1697.2891534404787</v>
      </c>
      <c r="C141" s="3">
        <v>200.0</v>
      </c>
    </row>
    <row r="142">
      <c r="B142" s="4">
        <v>3747.530059482287</v>
      </c>
      <c r="C142" s="3">
        <v>250.0</v>
      </c>
    </row>
    <row r="143">
      <c r="B143" s="4">
        <v>7030.135300861547</v>
      </c>
      <c r="C143" s="3">
        <v>270.0</v>
      </c>
    </row>
    <row r="144">
      <c r="B144" s="4">
        <v>15217.53241358802</v>
      </c>
      <c r="C144" s="3">
        <v>280.0</v>
      </c>
    </row>
    <row r="150">
      <c r="A150" s="44" t="s">
        <v>233</v>
      </c>
      <c r="B150" s="44" t="s">
        <v>98</v>
      </c>
      <c r="C150" s="2" t="s">
        <v>226</v>
      </c>
    </row>
    <row r="151">
      <c r="B151" s="3">
        <v>100.0</v>
      </c>
      <c r="C151" s="47">
        <v>6.830046824646338</v>
      </c>
    </row>
    <row r="152">
      <c r="B152" s="3">
        <v>250.0</v>
      </c>
      <c r="C152" s="47">
        <v>16.70057502283142</v>
      </c>
    </row>
    <row r="153">
      <c r="B153" s="3">
        <v>500.0</v>
      </c>
      <c r="C153" s="47">
        <v>32.22312823931032</v>
      </c>
    </row>
    <row r="154">
      <c r="B154" s="3">
        <v>1000.0</v>
      </c>
      <c r="C154" s="47">
        <v>60.212748540199684</v>
      </c>
    </row>
    <row r="155">
      <c r="B155" s="3">
        <v>2000.0</v>
      </c>
      <c r="C155" s="47">
        <v>104.89729151444253</v>
      </c>
    </row>
    <row r="156">
      <c r="B156" s="3">
        <v>4000.0</v>
      </c>
      <c r="C156" s="47">
        <v>165.1053047671942</v>
      </c>
    </row>
    <row r="157">
      <c r="B157" s="3">
        <v>8000.0</v>
      </c>
      <c r="C157" s="47">
        <v>228.14735946281846</v>
      </c>
    </row>
    <row r="158">
      <c r="B158" s="3">
        <v>16000.0</v>
      </c>
      <c r="C158" s="47">
        <v>277.0230771928066</v>
      </c>
    </row>
  </sheetData>
  <mergeCells count="29">
    <mergeCell ref="A1:J1"/>
    <mergeCell ref="A6:D6"/>
    <mergeCell ref="E6:J6"/>
    <mergeCell ref="A10:H10"/>
    <mergeCell ref="I10:J10"/>
    <mergeCell ref="A11:D11"/>
    <mergeCell ref="A17:J17"/>
    <mergeCell ref="A41:I41"/>
    <mergeCell ref="L45:S45"/>
    <mergeCell ref="V45:AC45"/>
    <mergeCell ref="B49:I49"/>
    <mergeCell ref="A58:C58"/>
    <mergeCell ref="A62:I62"/>
    <mergeCell ref="E66:I66"/>
    <mergeCell ref="A88:C89"/>
    <mergeCell ref="A91:C91"/>
    <mergeCell ref="E91:I91"/>
    <mergeCell ref="E97:I97"/>
    <mergeCell ref="E104:I104"/>
    <mergeCell ref="E110:I110"/>
    <mergeCell ref="A117:C117"/>
    <mergeCell ref="E122:I122"/>
    <mergeCell ref="A66:C66"/>
    <mergeCell ref="A71:C71"/>
    <mergeCell ref="E75:I75"/>
    <mergeCell ref="A81:C81"/>
    <mergeCell ref="E81:I81"/>
    <mergeCell ref="A87:C87"/>
    <mergeCell ref="E87:I87"/>
  </mergeCells>
  <conditionalFormatting sqref="E43:E44 E46">
    <cfRule type="cellIs" dxfId="0" priority="1" operator="lessThan">
      <formula>$J$8</formula>
    </cfRule>
  </conditionalFormatting>
  <dataValidations>
    <dataValidation type="list" allowBlank="1" showErrorMessage="1" sqref="K46 U46 A50">
      <formula1>"Dither,Pairwise Probing"</formula1>
    </dataValidation>
    <dataValidation type="list" allowBlank="1" showErrorMessage="1" sqref="K45 U45 A49">
      <formula1>"Precomputed Gain,Realtime Gain,Adjoint EFC"</formula1>
    </dataValidation>
    <dataValidation type="list" allowBlank="1" showErrorMessage="1" sqref="A43:A44 A46">
      <formula1>'Compute Specs'!$A$2:$A$1000</formula1>
    </dataValidation>
    <dataValidation type="decimal" operator="greaterThan" allowBlank="1" showDropDown="1" sqref="A40">
      <formula1>0.0</formula1>
    </dataValidation>
    <dataValidation type="list" allowBlank="1" showErrorMessage="1" sqref="E83">
      <formula1>'MAC Specs'!$A$2:$A$31</formula1>
    </dataValidation>
    <dataValidation type="list" allowBlank="1" showErrorMessage="1" sqref="A3">
      <formula1>'System Specs'!$A$2:$A1000</formula1>
    </dataValidation>
    <dataValidation type="list" allowBlank="1" showErrorMessage="1" sqref="A64">
      <formula1>"Resnet18 B1,Resnet18 B8,Resnet18 B32,Resnet18 B64"</formula1>
    </dataValidation>
    <dataValidation type="list" allowBlank="1" showErrorMessage="1" sqref="H8">
      <formula1>"4,8"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6.5"/>
  </cols>
  <sheetData>
    <row r="1">
      <c r="A1" s="2" t="s">
        <v>453</v>
      </c>
      <c r="B1" s="2" t="s">
        <v>454</v>
      </c>
      <c r="C1" s="2" t="s">
        <v>455</v>
      </c>
      <c r="D1" s="2" t="s">
        <v>334</v>
      </c>
      <c r="E1" s="3"/>
      <c r="F1" s="3"/>
    </row>
    <row r="2">
      <c r="A2" s="3" t="s">
        <v>456</v>
      </c>
      <c r="B2" s="3" t="s">
        <v>457</v>
      </c>
      <c r="C2" s="3" t="s">
        <v>458</v>
      </c>
      <c r="D2" s="49" t="s">
        <v>408</v>
      </c>
    </row>
    <row r="3">
      <c r="A3" s="3" t="s">
        <v>459</v>
      </c>
      <c r="B3" s="3" t="s">
        <v>460</v>
      </c>
      <c r="C3" s="3" t="s">
        <v>461</v>
      </c>
      <c r="D3" s="4"/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9"/>
    </row>
    <row r="25">
      <c r="D25" s="49"/>
    </row>
    <row r="26">
      <c r="D26" s="49"/>
    </row>
    <row r="27">
      <c r="D27" s="49"/>
    </row>
    <row r="28">
      <c r="D28" s="49"/>
    </row>
    <row r="29">
      <c r="D29" s="49"/>
    </row>
    <row r="30">
      <c r="D30" s="49"/>
    </row>
    <row r="31">
      <c r="D31" s="49"/>
    </row>
  </sheetData>
  <dataValidations>
    <dataValidation type="list" allowBlank="1" showErrorMessage="1" sqref="D2:D23">
      <formula1>Sources!$A$2:$A$1000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7.13"/>
    <col customWidth="1" min="4" max="4" width="9.75"/>
    <col customWidth="1" min="5" max="5" width="15.13"/>
    <col customWidth="1" min="6" max="6" width="16.38"/>
  </cols>
  <sheetData>
    <row r="4">
      <c r="A4" s="2" t="s">
        <v>462</v>
      </c>
      <c r="B4" s="2" t="s">
        <v>463</v>
      </c>
      <c r="C4" s="2" t="s">
        <v>464</v>
      </c>
      <c r="D4" s="2" t="s">
        <v>465</v>
      </c>
      <c r="E4" s="2" t="s">
        <v>466</v>
      </c>
      <c r="F4" s="2" t="s">
        <v>467</v>
      </c>
    </row>
    <row r="5">
      <c r="A5" s="57">
        <v>0.0</v>
      </c>
      <c r="B5" s="3">
        <v>0.0</v>
      </c>
      <c r="C5" s="5">
        <f t="shared" ref="C5:C16" si="1">A5/3/10^8*1000</f>
        <v>0</v>
      </c>
      <c r="D5" s="5">
        <v>10000.0</v>
      </c>
      <c r="E5" s="3">
        <v>200.0</v>
      </c>
      <c r="F5" s="4">
        <f t="shared" ref="F5:F15" si="2">1/E5</f>
        <v>0.005</v>
      </c>
      <c r="G5" s="3">
        <v>0.0</v>
      </c>
    </row>
    <row r="6">
      <c r="A6" s="57">
        <v>1.0</v>
      </c>
      <c r="B6" s="3">
        <f t="shared" ref="B6:B16" si="3">LOG(A6,10)</f>
        <v>0</v>
      </c>
      <c r="C6" s="5">
        <f t="shared" si="1"/>
        <v>0.000003333333333</v>
      </c>
      <c r="D6" s="5">
        <v>5000.0</v>
      </c>
      <c r="E6" s="4">
        <f t="shared" ref="E6:E14" si="4">E5/POWER($E$5/$E$15,1/9)</f>
        <v>85.95059452</v>
      </c>
      <c r="F6" s="4">
        <f t="shared" si="2"/>
        <v>0.01163459084</v>
      </c>
      <c r="G6" s="4">
        <f t="shared" ref="G6:G15" si="5">log(A6)</f>
        <v>0</v>
      </c>
    </row>
    <row r="7">
      <c r="A7" s="57">
        <v>10.0</v>
      </c>
      <c r="B7" s="3">
        <f t="shared" si="3"/>
        <v>1</v>
      </c>
      <c r="C7" s="5">
        <f t="shared" si="1"/>
        <v>0.00003333333333</v>
      </c>
      <c r="D7" s="14">
        <f t="shared" ref="D7:D15" si="6">$D$5/(A7)^2</f>
        <v>100</v>
      </c>
      <c r="E7" s="4">
        <f t="shared" si="4"/>
        <v>36.93752349</v>
      </c>
      <c r="F7" s="4">
        <f t="shared" si="2"/>
        <v>0.02707274082</v>
      </c>
      <c r="G7" s="4">
        <f t="shared" si="5"/>
        <v>1</v>
      </c>
    </row>
    <row r="8">
      <c r="A8" s="57">
        <v>100.0</v>
      </c>
      <c r="B8" s="3">
        <f t="shared" si="3"/>
        <v>2</v>
      </c>
      <c r="C8" s="5">
        <f t="shared" si="1"/>
        <v>0.0003333333333</v>
      </c>
      <c r="D8" s="14">
        <f t="shared" si="6"/>
        <v>1</v>
      </c>
      <c r="E8" s="4">
        <f t="shared" si="4"/>
        <v>15.87401052</v>
      </c>
      <c r="F8" s="4">
        <f t="shared" si="2"/>
        <v>0.06299605249</v>
      </c>
      <c r="G8" s="4">
        <f t="shared" si="5"/>
        <v>2</v>
      </c>
    </row>
    <row r="9">
      <c r="A9" s="57">
        <v>1000.0</v>
      </c>
      <c r="B9" s="3">
        <f t="shared" si="3"/>
        <v>3</v>
      </c>
      <c r="C9" s="5">
        <f t="shared" si="1"/>
        <v>0.003333333333</v>
      </c>
      <c r="D9" s="14">
        <f t="shared" si="6"/>
        <v>0.01</v>
      </c>
      <c r="E9" s="4">
        <f t="shared" si="4"/>
        <v>6.821903208</v>
      </c>
      <c r="F9" s="4">
        <f t="shared" si="2"/>
        <v>0.1465866591</v>
      </c>
      <c r="G9" s="4">
        <f t="shared" si="5"/>
        <v>3</v>
      </c>
    </row>
    <row r="10">
      <c r="A10" s="57">
        <v>10000.0</v>
      </c>
      <c r="B10" s="3">
        <f t="shared" si="3"/>
        <v>4</v>
      </c>
      <c r="C10" s="5">
        <f t="shared" si="1"/>
        <v>0.03333333333</v>
      </c>
      <c r="D10" s="14">
        <f t="shared" si="6"/>
        <v>0.0001</v>
      </c>
      <c r="E10" s="4">
        <f t="shared" si="4"/>
        <v>2.931733182</v>
      </c>
      <c r="F10" s="4">
        <f t="shared" si="2"/>
        <v>0.3410951604</v>
      </c>
      <c r="G10" s="4">
        <f t="shared" si="5"/>
        <v>4</v>
      </c>
    </row>
    <row r="11">
      <c r="A11" s="57">
        <v>100000.0</v>
      </c>
      <c r="B11" s="3">
        <f t="shared" si="3"/>
        <v>5</v>
      </c>
      <c r="C11" s="5">
        <f t="shared" si="1"/>
        <v>0.3333333333</v>
      </c>
      <c r="D11" s="14">
        <f t="shared" si="6"/>
        <v>0.000001</v>
      </c>
      <c r="E11" s="4">
        <f t="shared" si="4"/>
        <v>1.25992105</v>
      </c>
      <c r="F11" s="4">
        <f t="shared" si="2"/>
        <v>0.793700526</v>
      </c>
      <c r="G11" s="4">
        <f t="shared" si="5"/>
        <v>5</v>
      </c>
    </row>
    <row r="12">
      <c r="A12" s="57">
        <v>1000000.0</v>
      </c>
      <c r="B12" s="3">
        <f t="shared" si="3"/>
        <v>6</v>
      </c>
      <c r="C12" s="5">
        <f t="shared" si="1"/>
        <v>3.333333333</v>
      </c>
      <c r="D12" s="14">
        <f t="shared" si="6"/>
        <v>0.00000001</v>
      </c>
      <c r="E12" s="4">
        <f t="shared" si="4"/>
        <v>0.5414548164</v>
      </c>
      <c r="F12" s="4">
        <f t="shared" si="2"/>
        <v>1.846876174</v>
      </c>
      <c r="G12" s="4">
        <f t="shared" si="5"/>
        <v>6</v>
      </c>
    </row>
    <row r="13">
      <c r="A13" s="57">
        <v>1.0E7</v>
      </c>
      <c r="B13" s="3">
        <f t="shared" si="3"/>
        <v>7</v>
      </c>
      <c r="C13" s="5">
        <f t="shared" si="1"/>
        <v>33.33333333</v>
      </c>
      <c r="D13" s="14">
        <f t="shared" si="6"/>
        <v>0.0000000001</v>
      </c>
      <c r="E13" s="4">
        <f t="shared" si="4"/>
        <v>0.2326918169</v>
      </c>
      <c r="F13" s="4">
        <f t="shared" si="2"/>
        <v>4.297529726</v>
      </c>
      <c r="G13" s="4">
        <f t="shared" si="5"/>
        <v>7</v>
      </c>
    </row>
    <row r="14">
      <c r="A14" s="57">
        <v>1.0E8</v>
      </c>
      <c r="B14" s="3">
        <f t="shared" si="3"/>
        <v>8</v>
      </c>
      <c r="C14" s="5">
        <f t="shared" si="1"/>
        <v>333.3333333</v>
      </c>
      <c r="D14" s="14">
        <f t="shared" si="6"/>
        <v>0</v>
      </c>
      <c r="E14" s="4">
        <f t="shared" si="4"/>
        <v>0.1</v>
      </c>
      <c r="F14" s="4">
        <f t="shared" si="2"/>
        <v>10</v>
      </c>
      <c r="G14" s="4">
        <f t="shared" si="5"/>
        <v>8</v>
      </c>
    </row>
    <row r="15">
      <c r="A15" s="57">
        <v>1.5E8</v>
      </c>
      <c r="B15" s="3">
        <f t="shared" si="3"/>
        <v>8.176091259</v>
      </c>
      <c r="C15" s="5">
        <f t="shared" si="1"/>
        <v>500</v>
      </c>
      <c r="D15" s="14">
        <f t="shared" si="6"/>
        <v>0</v>
      </c>
      <c r="E15" s="3">
        <v>0.1</v>
      </c>
      <c r="F15" s="4">
        <f t="shared" si="2"/>
        <v>10</v>
      </c>
      <c r="G15" s="4">
        <f t="shared" si="5"/>
        <v>8.176091259</v>
      </c>
    </row>
    <row r="16">
      <c r="A16" s="57">
        <f>1500000*1000</f>
        <v>1500000000</v>
      </c>
      <c r="B16" s="3">
        <f t="shared" si="3"/>
        <v>9.176091259</v>
      </c>
      <c r="C16" s="5">
        <f t="shared" si="1"/>
        <v>5000</v>
      </c>
    </row>
    <row r="18">
      <c r="A18" s="3">
        <v>100.0</v>
      </c>
      <c r="B18" s="4">
        <f>A18*1000</f>
        <v>100000</v>
      </c>
      <c r="C18" s="4">
        <f>B18/3/10^8*1000</f>
        <v>0.3333333333</v>
      </c>
    </row>
    <row r="21">
      <c r="C21" s="3" t="s">
        <v>468</v>
      </c>
      <c r="D21" s="3" t="s">
        <v>469</v>
      </c>
    </row>
    <row r="22">
      <c r="C22" s="3" t="s">
        <v>470</v>
      </c>
    </row>
    <row r="23">
      <c r="C23" s="4">
        <f>sqrt(1000)</f>
        <v>31.6227766</v>
      </c>
    </row>
    <row r="26">
      <c r="A26" s="3" t="s">
        <v>471</v>
      </c>
      <c r="B26" s="3" t="s">
        <v>112</v>
      </c>
    </row>
    <row r="27">
      <c r="A27" s="3">
        <v>100.0</v>
      </c>
      <c r="B27" s="4">
        <f t="shared" ref="B27:B28" si="7">A27/300000</f>
        <v>0.0003333333333</v>
      </c>
    </row>
    <row r="28">
      <c r="A28" s="3">
        <v>1000.0</v>
      </c>
      <c r="B28" s="4">
        <f t="shared" si="7"/>
        <v>0.003333333333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0.5"/>
    <col customWidth="1" min="3" max="3" width="15.63"/>
    <col customWidth="1" min="4" max="4" width="16.88"/>
    <col customWidth="1" min="5" max="5" width="16.38"/>
    <col customWidth="1" min="6" max="6" width="17.13"/>
    <col customWidth="1" min="7" max="7" width="20.0"/>
    <col customWidth="1" min="8" max="8" width="21.25"/>
    <col customWidth="1" min="9" max="9" width="12.75"/>
    <col customWidth="1" min="11" max="11" width="21.0"/>
  </cols>
  <sheetData>
    <row r="1">
      <c r="A1" s="2" t="s">
        <v>472</v>
      </c>
      <c r="B1" s="2" t="s">
        <v>3</v>
      </c>
      <c r="C1" s="2" t="s">
        <v>4</v>
      </c>
      <c r="D1" s="2" t="s">
        <v>473</v>
      </c>
      <c r="E1" s="2" t="s">
        <v>474</v>
      </c>
      <c r="F1" s="2" t="s">
        <v>475</v>
      </c>
      <c r="G1" s="2" t="s">
        <v>8</v>
      </c>
      <c r="H1" s="2" t="s">
        <v>14</v>
      </c>
      <c r="I1" s="2" t="s">
        <v>83</v>
      </c>
      <c r="J1" s="2" t="s">
        <v>15</v>
      </c>
      <c r="K1" s="2" t="s">
        <v>476</v>
      </c>
      <c r="L1" s="2" t="s">
        <v>18</v>
      </c>
      <c r="M1" s="2" t="s">
        <v>19</v>
      </c>
      <c r="N1" s="2" t="s">
        <v>20</v>
      </c>
      <c r="O1" s="2" t="s">
        <v>21</v>
      </c>
      <c r="P1" s="3" t="s">
        <v>477</v>
      </c>
    </row>
    <row r="2">
      <c r="A2" s="80" t="s">
        <v>478</v>
      </c>
      <c r="B2" s="3">
        <v>5.0</v>
      </c>
      <c r="C2" s="3">
        <v>3.5</v>
      </c>
      <c r="D2" s="3">
        <v>64.0</v>
      </c>
      <c r="E2" s="3">
        <v>128.0</v>
      </c>
      <c r="F2" s="3">
        <v>400.0</v>
      </c>
      <c r="G2" s="3">
        <v>0.5</v>
      </c>
      <c r="H2" s="60">
        <f>ROUND(PI()*(D2^2-C2^2),0)</f>
        <v>12829</v>
      </c>
      <c r="I2" s="60">
        <f>B2*J2*2</f>
        <v>513160</v>
      </c>
      <c r="J2" s="60">
        <f>H2/G2/G2</f>
        <v>51316</v>
      </c>
      <c r="K2" s="60">
        <f>ROUND(2*PI()*(E2/2)^2,0)</f>
        <v>25736</v>
      </c>
      <c r="L2" s="3">
        <v>7.0</v>
      </c>
      <c r="M2" s="3">
        <v>35.0</v>
      </c>
      <c r="N2" s="3">
        <v>4.0</v>
      </c>
      <c r="O2" s="3">
        <v>4.0</v>
      </c>
      <c r="P2" s="3">
        <v>4.0</v>
      </c>
    </row>
    <row r="5">
      <c r="A5" s="2" t="s">
        <v>127</v>
      </c>
      <c r="B5" s="2" t="s">
        <v>40</v>
      </c>
      <c r="C5" s="2" t="s">
        <v>41</v>
      </c>
      <c r="D5" s="2" t="s">
        <v>479</v>
      </c>
      <c r="E5" s="2" t="s">
        <v>480</v>
      </c>
      <c r="F5" s="2" t="s">
        <v>481</v>
      </c>
      <c r="G5" s="2" t="s">
        <v>482</v>
      </c>
      <c r="H5" s="2" t="s">
        <v>483</v>
      </c>
      <c r="I5" s="2" t="s">
        <v>484</v>
      </c>
    </row>
    <row r="6">
      <c r="A6" s="3" t="s">
        <v>485</v>
      </c>
      <c r="B6" s="3" t="s">
        <v>450</v>
      </c>
      <c r="C6" s="14">
        <f>2*K2*I2</f>
        <v>26413371520</v>
      </c>
      <c r="D6" s="3" t="s">
        <v>245</v>
      </c>
      <c r="E6" s="5">
        <v>0.0</v>
      </c>
      <c r="F6" s="3" t="s">
        <v>486</v>
      </c>
      <c r="G6" s="5" t="s">
        <v>487</v>
      </c>
      <c r="I6" s="14"/>
    </row>
    <row r="7">
      <c r="A7" s="3" t="s">
        <v>488</v>
      </c>
      <c r="B7" s="27" t="s">
        <v>489</v>
      </c>
      <c r="C7" s="14">
        <f>M2*J2*B2</f>
        <v>8980300</v>
      </c>
      <c r="D7" s="3" t="s">
        <v>490</v>
      </c>
      <c r="E7" s="14">
        <f>13*O2</f>
        <v>52</v>
      </c>
      <c r="F7" s="3" t="s">
        <v>491</v>
      </c>
      <c r="G7" s="14">
        <f>I2*K2*O2*N2</f>
        <v>211306972160</v>
      </c>
      <c r="H7" s="3" t="s">
        <v>492</v>
      </c>
      <c r="I7" s="14">
        <f>2*J2*B2*L2</f>
        <v>3592120</v>
      </c>
    </row>
    <row r="8">
      <c r="A8" s="3" t="s">
        <v>493</v>
      </c>
      <c r="B8" s="3" t="s">
        <v>450</v>
      </c>
      <c r="C8" s="14">
        <f>C6</f>
        <v>26413371520</v>
      </c>
      <c r="D8" s="3" t="s">
        <v>494</v>
      </c>
      <c r="E8" s="14">
        <f>(I2+K2+1)*K2+I2</f>
        <v>13869566352</v>
      </c>
      <c r="F8" s="3" t="s">
        <v>495</v>
      </c>
      <c r="G8" s="14">
        <f>K2*K2*O2</f>
        <v>2649366784</v>
      </c>
      <c r="I8" s="14"/>
    </row>
    <row r="9">
      <c r="B9" s="4">
        <f>2*K2^3/3*N2</f>
        <v>45456069035349</v>
      </c>
      <c r="E9" s="14">
        <f>E8/2^30</f>
        <v>12.91704024</v>
      </c>
      <c r="G9" s="14"/>
      <c r="I9" s="14"/>
    </row>
    <row r="10">
      <c r="A10" s="8" t="s">
        <v>496</v>
      </c>
      <c r="B10" s="3">
        <v>100.0</v>
      </c>
      <c r="C10" s="14"/>
      <c r="E10" s="14"/>
      <c r="G10" s="14"/>
      <c r="I10" s="14"/>
    </row>
    <row r="11">
      <c r="C11" s="14"/>
      <c r="E11" s="14"/>
      <c r="G11" s="14"/>
      <c r="I11" s="14"/>
    </row>
    <row r="12">
      <c r="A12" s="81"/>
      <c r="B12" s="8" t="s">
        <v>497</v>
      </c>
      <c r="C12" s="8" t="s">
        <v>498</v>
      </c>
      <c r="D12" s="82" t="s">
        <v>499</v>
      </c>
      <c r="E12" s="82" t="s">
        <v>500</v>
      </c>
      <c r="F12" s="8" t="s">
        <v>501</v>
      </c>
      <c r="G12" s="82" t="s">
        <v>500</v>
      </c>
      <c r="I12" s="14"/>
    </row>
    <row r="13">
      <c r="A13" s="3" t="s">
        <v>485</v>
      </c>
      <c r="B13" s="3" t="s">
        <v>245</v>
      </c>
      <c r="D13" s="5" t="s">
        <v>245</v>
      </c>
      <c r="E13" s="14"/>
      <c r="G13" s="14"/>
      <c r="I13" s="14"/>
    </row>
    <row r="14">
      <c r="A14" s="3" t="s">
        <v>488</v>
      </c>
      <c r="B14" s="14">
        <f>C7*B10</f>
        <v>898030000</v>
      </c>
      <c r="C14" s="14">
        <f t="shared" ref="C14:C15" si="1">B14/10^9</f>
        <v>0.89803</v>
      </c>
      <c r="D14" s="5" t="s">
        <v>245</v>
      </c>
      <c r="E14" s="5" t="s">
        <v>245</v>
      </c>
      <c r="F14" s="14">
        <f>I7*B10</f>
        <v>359212000</v>
      </c>
      <c r="G14" s="14">
        <f>F14/10^9</f>
        <v>0.359212</v>
      </c>
    </row>
    <row r="15">
      <c r="A15" s="3" t="s">
        <v>493</v>
      </c>
      <c r="B15" s="14">
        <f>C6*100</f>
        <v>2641337152000</v>
      </c>
      <c r="C15" s="14">
        <f t="shared" si="1"/>
        <v>2641.337152</v>
      </c>
      <c r="D15" s="14">
        <f>E8*100</f>
        <v>1386956635200</v>
      </c>
      <c r="E15" s="14">
        <f>D15/2^30</f>
        <v>1291.704024</v>
      </c>
      <c r="G15" s="14"/>
    </row>
    <row r="16">
      <c r="C16" s="14"/>
      <c r="E16" s="14"/>
      <c r="G16" s="14"/>
    </row>
    <row r="17">
      <c r="G17" s="14"/>
    </row>
    <row r="18">
      <c r="C18" s="82" t="s">
        <v>502</v>
      </c>
      <c r="E18" s="82" t="s">
        <v>503</v>
      </c>
      <c r="G18" s="14"/>
    </row>
    <row r="19">
      <c r="C19" s="14">
        <f>C15/1000</f>
        <v>2.641337152</v>
      </c>
      <c r="E19" s="14">
        <f>E15/1024</f>
        <v>1.261429711</v>
      </c>
      <c r="G19" s="14"/>
    </row>
    <row r="20">
      <c r="C20" s="14"/>
      <c r="E20" s="14"/>
      <c r="G20" s="14"/>
    </row>
    <row r="21">
      <c r="C21" s="14"/>
      <c r="E21" s="14"/>
      <c r="G21" s="14"/>
    </row>
    <row r="22">
      <c r="A22" s="2" t="s">
        <v>234</v>
      </c>
      <c r="B22" s="2" t="s">
        <v>96</v>
      </c>
      <c r="C22" s="29" t="s">
        <v>97</v>
      </c>
      <c r="D22" s="2" t="s">
        <v>98</v>
      </c>
      <c r="E22" s="2" t="s">
        <v>99</v>
      </c>
      <c r="F22" s="2" t="s">
        <v>235</v>
      </c>
      <c r="G22" s="2" t="s">
        <v>101</v>
      </c>
      <c r="H22" s="8" t="s">
        <v>504</v>
      </c>
      <c r="I22" s="8" t="s">
        <v>505</v>
      </c>
      <c r="J22" s="2" t="s">
        <v>506</v>
      </c>
      <c r="K22" s="2" t="s">
        <v>102</v>
      </c>
    </row>
    <row r="23">
      <c r="A23" s="3" t="s">
        <v>507</v>
      </c>
      <c r="B23" s="3">
        <v>0.001865</v>
      </c>
      <c r="C23" s="3">
        <v>0.0</v>
      </c>
      <c r="D23" s="3">
        <v>35.0</v>
      </c>
      <c r="E23" s="3">
        <v>4.0</v>
      </c>
      <c r="F23" s="3">
        <v>51.0</v>
      </c>
      <c r="G23" s="3" t="s">
        <v>245</v>
      </c>
      <c r="H23" s="14">
        <f t="shared" ref="H23:H32" si="2">MIN(B23*10^12/$C$8,F23*10^12/$E$8)</f>
        <v>0.07060817657</v>
      </c>
      <c r="I23" s="14">
        <f t="shared" ref="I23:I32" si="3">MIN(C23*10^12/$C$8,F23*10^12/$E$8)</f>
        <v>0</v>
      </c>
      <c r="J23" s="14">
        <f t="shared" ref="J23:J32" si="4">1/H23/3600</f>
        <v>0.003934073804</v>
      </c>
    </row>
    <row r="24">
      <c r="A24" s="3" t="s">
        <v>508</v>
      </c>
      <c r="B24" s="3">
        <v>7.6</v>
      </c>
      <c r="C24" s="3">
        <v>0.0</v>
      </c>
      <c r="D24" s="3">
        <v>78.0</v>
      </c>
      <c r="E24" s="3">
        <v>128.0</v>
      </c>
      <c r="F24" s="3">
        <v>0.26</v>
      </c>
      <c r="H24" s="14">
        <f t="shared" si="2"/>
        <v>18.74607997</v>
      </c>
      <c r="I24" s="14">
        <f t="shared" si="3"/>
        <v>0</v>
      </c>
      <c r="J24" s="14">
        <f t="shared" si="4"/>
        <v>0.00001481791277</v>
      </c>
    </row>
    <row r="25">
      <c r="A25" s="3" t="s">
        <v>248</v>
      </c>
      <c r="B25" s="46">
        <v>134.0</v>
      </c>
      <c r="C25" s="46">
        <v>101.0</v>
      </c>
      <c r="D25" s="3">
        <v>700.0</v>
      </c>
      <c r="E25" s="3">
        <v>80.0</v>
      </c>
      <c r="F25" s="3">
        <v>3.35</v>
      </c>
      <c r="G25" s="3" t="s">
        <v>249</v>
      </c>
      <c r="H25" s="14">
        <f t="shared" si="2"/>
        <v>241.5360304</v>
      </c>
      <c r="I25" s="14">
        <f t="shared" si="3"/>
        <v>241.5360304</v>
      </c>
      <c r="J25" s="14">
        <f t="shared" si="4"/>
        <v>0.000001150046961</v>
      </c>
    </row>
    <row r="26">
      <c r="A26" s="3" t="s">
        <v>266</v>
      </c>
      <c r="B26" s="46">
        <v>163.4</v>
      </c>
      <c r="C26" s="46">
        <v>163.4</v>
      </c>
      <c r="D26" s="3">
        <v>750.0</v>
      </c>
      <c r="E26" s="3">
        <v>192.0</v>
      </c>
      <c r="F26" s="3">
        <v>5.3</v>
      </c>
      <c r="G26" s="3" t="s">
        <v>267</v>
      </c>
      <c r="H26" s="14">
        <f t="shared" si="2"/>
        <v>382.1316302</v>
      </c>
      <c r="I26" s="14">
        <f t="shared" si="3"/>
        <v>382.1316302</v>
      </c>
      <c r="J26" s="14">
        <f t="shared" si="4"/>
        <v>0.0000007269164755</v>
      </c>
    </row>
    <row r="27">
      <c r="A27" s="3" t="s">
        <v>270</v>
      </c>
      <c r="B27" s="46">
        <v>78.6</v>
      </c>
      <c r="C27" s="46">
        <v>157.3</v>
      </c>
      <c r="D27" s="3">
        <v>1400.0</v>
      </c>
      <c r="E27" s="3">
        <v>288.0</v>
      </c>
      <c r="F27" s="3">
        <v>8.0</v>
      </c>
      <c r="G27" s="3" t="s">
        <v>271</v>
      </c>
      <c r="H27" s="14">
        <f t="shared" si="2"/>
        <v>576.8024607</v>
      </c>
      <c r="I27" s="14">
        <f t="shared" si="3"/>
        <v>576.8024607</v>
      </c>
      <c r="J27" s="14">
        <f t="shared" si="4"/>
        <v>0.000000481582165</v>
      </c>
    </row>
    <row r="28">
      <c r="A28" s="3" t="s">
        <v>274</v>
      </c>
      <c r="B28" s="46">
        <v>1300.0</v>
      </c>
      <c r="C28" s="46">
        <v>1300.0</v>
      </c>
      <c r="D28" s="3">
        <v>8000.0</v>
      </c>
      <c r="E28" s="3">
        <v>2048.0</v>
      </c>
      <c r="F28" s="3">
        <v>6.0</v>
      </c>
      <c r="G28" s="3" t="s">
        <v>245</v>
      </c>
      <c r="H28" s="14">
        <f t="shared" si="2"/>
        <v>432.6018455</v>
      </c>
      <c r="I28" s="14">
        <f t="shared" si="3"/>
        <v>432.6018455</v>
      </c>
      <c r="J28" s="14">
        <f t="shared" si="4"/>
        <v>0.0000006421095533</v>
      </c>
    </row>
    <row r="29">
      <c r="A29" s="3" t="s">
        <v>277</v>
      </c>
      <c r="B29" s="46">
        <v>1307.0</v>
      </c>
      <c r="C29" s="46">
        <v>1307.0</v>
      </c>
      <c r="D29" s="4">
        <f>750*8</f>
        <v>6000</v>
      </c>
      <c r="E29" s="3">
        <v>1500.0</v>
      </c>
      <c r="F29" s="3">
        <f>F26*8</f>
        <v>42.4</v>
      </c>
      <c r="G29" s="3" t="s">
        <v>245</v>
      </c>
      <c r="H29" s="14">
        <f t="shared" si="2"/>
        <v>3057.053041</v>
      </c>
      <c r="I29" s="14">
        <f t="shared" si="3"/>
        <v>3057.053041</v>
      </c>
      <c r="J29" s="14">
        <f t="shared" si="4"/>
        <v>0.00000009086455943</v>
      </c>
    </row>
    <row r="30">
      <c r="A30" s="3" t="s">
        <v>280</v>
      </c>
      <c r="B30" s="42">
        <f t="shared" ref="B30:C30" si="5">8*B25</f>
        <v>1072</v>
      </c>
      <c r="C30" s="42">
        <f t="shared" si="5"/>
        <v>808</v>
      </c>
      <c r="D30" s="3">
        <v>10200.0</v>
      </c>
      <c r="E30" s="3">
        <v>640.0</v>
      </c>
      <c r="F30" s="4">
        <f>F25*8</f>
        <v>26.8</v>
      </c>
      <c r="G30" s="3" t="s">
        <v>245</v>
      </c>
      <c r="H30" s="14">
        <f t="shared" si="2"/>
        <v>1932.288243</v>
      </c>
      <c r="I30" s="14">
        <f t="shared" si="3"/>
        <v>1932.288243</v>
      </c>
      <c r="J30" s="14">
        <f t="shared" si="4"/>
        <v>0.0000001437558701</v>
      </c>
    </row>
    <row r="31">
      <c r="A31" s="3" t="s">
        <v>286</v>
      </c>
      <c r="B31" s="46">
        <v>5760.0</v>
      </c>
      <c r="C31" s="46">
        <v>2880.0</v>
      </c>
      <c r="D31" s="42">
        <f>1200*72</f>
        <v>86400</v>
      </c>
      <c r="E31" s="46">
        <f>186*72</f>
        <v>13392</v>
      </c>
      <c r="F31" s="3">
        <v>576.0</v>
      </c>
      <c r="G31" s="46" t="s">
        <v>245</v>
      </c>
      <c r="H31" s="14">
        <f t="shared" si="2"/>
        <v>41529.77717</v>
      </c>
      <c r="I31" s="14">
        <f t="shared" si="3"/>
        <v>41529.77717</v>
      </c>
      <c r="J31" s="14">
        <f t="shared" si="4"/>
        <v>0.000000006688641181</v>
      </c>
    </row>
    <row r="32">
      <c r="A32" s="3" t="s">
        <v>289</v>
      </c>
      <c r="B32" s="42">
        <f>B33/25</f>
        <v>5000</v>
      </c>
      <c r="C32" s="42"/>
      <c r="D32" s="46">
        <v>20000.0</v>
      </c>
      <c r="E32" s="46">
        <v>40.0</v>
      </c>
      <c r="F32" s="46">
        <v>220000.0</v>
      </c>
      <c r="G32" s="42"/>
      <c r="H32" s="14">
        <f t="shared" si="2"/>
        <v>189298.0605</v>
      </c>
      <c r="I32" s="14">
        <f t="shared" si="3"/>
        <v>0</v>
      </c>
      <c r="J32" s="14">
        <f t="shared" si="4"/>
        <v>0.000000001467409529</v>
      </c>
      <c r="K32" s="3">
        <v>300.0</v>
      </c>
    </row>
    <row r="33">
      <c r="B33" s="3">
        <v>125000.0</v>
      </c>
      <c r="C33" s="14"/>
      <c r="E33" s="14"/>
      <c r="G33" s="14"/>
    </row>
    <row r="34">
      <c r="C34" s="14"/>
      <c r="E34" s="14"/>
      <c r="G34" s="14"/>
    </row>
    <row r="35">
      <c r="A35" s="3" t="s">
        <v>509</v>
      </c>
      <c r="C35" s="14"/>
      <c r="E35" s="14"/>
      <c r="G35" s="14"/>
    </row>
    <row r="36">
      <c r="A36" s="3" t="s">
        <v>134</v>
      </c>
      <c r="B36" s="3" t="s">
        <v>510</v>
      </c>
      <c r="C36" s="14"/>
    </row>
    <row r="37">
      <c r="A37" s="3">
        <v>2.0</v>
      </c>
      <c r="B37" s="3">
        <v>0.01</v>
      </c>
      <c r="C37" s="14"/>
    </row>
    <row r="38">
      <c r="C38" s="14"/>
    </row>
    <row r="39">
      <c r="C39" s="14"/>
    </row>
    <row r="40">
      <c r="A40" s="3" t="s">
        <v>511</v>
      </c>
      <c r="B40" s="3">
        <v>744.0</v>
      </c>
      <c r="C40" s="14"/>
    </row>
    <row r="41">
      <c r="A41" s="3" t="s">
        <v>512</v>
      </c>
      <c r="B41" s="3">
        <v>0.0015</v>
      </c>
      <c r="C41" s="14"/>
    </row>
    <row r="42">
      <c r="A42" s="3" t="s">
        <v>513</v>
      </c>
      <c r="B42" s="4">
        <f>B40*0.7</f>
        <v>520.8</v>
      </c>
      <c r="C42" s="14"/>
    </row>
    <row r="43">
      <c r="A43" s="3" t="s">
        <v>514</v>
      </c>
      <c r="B43" s="3">
        <f>B42/B41</f>
        <v>347200</v>
      </c>
      <c r="C43" s="14"/>
    </row>
    <row r="44">
      <c r="A44" s="3" t="s">
        <v>515</v>
      </c>
      <c r="B44" s="3">
        <f>FLOOR(SQRT(B43),1)</f>
        <v>589</v>
      </c>
      <c r="C44" s="14"/>
    </row>
    <row r="45">
      <c r="A45" s="3" t="s">
        <v>516</v>
      </c>
      <c r="B45" s="3">
        <v>2500.0</v>
      </c>
      <c r="C45" s="14"/>
    </row>
    <row r="46">
      <c r="A46" s="3" t="s">
        <v>517</v>
      </c>
      <c r="B46" s="4">
        <f>B43*B45/1000/1000</f>
        <v>868</v>
      </c>
      <c r="C46" s="14"/>
    </row>
    <row r="47">
      <c r="C47" s="14"/>
    </row>
    <row r="48">
      <c r="A48" s="3" t="s">
        <v>518</v>
      </c>
      <c r="B48" s="3">
        <v>100.0</v>
      </c>
      <c r="C48" s="14"/>
    </row>
    <row r="49">
      <c r="A49" s="3" t="s">
        <v>517</v>
      </c>
      <c r="B49" s="5">
        <f>B48*C8</f>
        <v>2641337152000</v>
      </c>
      <c r="C49" s="14"/>
    </row>
    <row r="50">
      <c r="A50" s="3" t="s">
        <v>516</v>
      </c>
      <c r="B50" s="3">
        <v>2500.0</v>
      </c>
      <c r="C50" s="14"/>
    </row>
    <row r="51">
      <c r="A51" s="3" t="s">
        <v>519</v>
      </c>
      <c r="B51" s="14">
        <f>B49/B50/10^6</f>
        <v>1056.534861</v>
      </c>
      <c r="C51" s="14"/>
    </row>
    <row r="52">
      <c r="A52" s="3" t="s">
        <v>514</v>
      </c>
      <c r="B52" s="14">
        <f>B51</f>
        <v>1056.534861</v>
      </c>
      <c r="C52" s="14"/>
    </row>
    <row r="53">
      <c r="A53" s="3" t="s">
        <v>515</v>
      </c>
      <c r="B53" s="4">
        <f>FLOOR(SQRT(B51),1)</f>
        <v>32</v>
      </c>
    </row>
    <row r="54">
      <c r="A54" s="3" t="s">
        <v>513</v>
      </c>
      <c r="B54" s="14">
        <f>B51*B41</f>
        <v>1.584802291</v>
      </c>
    </row>
  </sheetData>
  <drawing r:id="rId1"/>
</worksheet>
</file>